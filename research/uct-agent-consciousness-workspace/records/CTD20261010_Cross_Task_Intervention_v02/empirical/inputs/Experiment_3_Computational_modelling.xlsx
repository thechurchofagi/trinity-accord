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POST DOC KI\PAPER IAF\DraftsDecember\"/>
    </mc:Choice>
  </mc:AlternateContent>
  <xr:revisionPtr revIDLastSave="0" documentId="8_{9B7AF3C1-82FB-47C5-9AF2-E885E3D80836}" xr6:coauthVersionLast="47" xr6:coauthVersionMax="47" xr10:uidLastSave="{00000000-0000-0000-0000-000000000000}"/>
  <bookViews>
    <workbookView xWindow="-108" yWindow="-108" windowWidth="23256" windowHeight="12456" xr2:uid="{AD2A3C7E-7476-4E93-BEEC-60ABB09FD4B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7" i="1" l="1"/>
  <c r="V67" i="1"/>
  <c r="U67" i="1"/>
  <c r="T67" i="1"/>
  <c r="P67" i="1"/>
  <c r="O67" i="1"/>
  <c r="J67" i="1"/>
  <c r="I67" i="1"/>
  <c r="H67" i="1"/>
  <c r="G67" i="1"/>
  <c r="F67" i="1"/>
  <c r="E67" i="1"/>
  <c r="D67" i="1"/>
  <c r="C67" i="1"/>
  <c r="B67" i="1"/>
  <c r="W66" i="1"/>
  <c r="V66" i="1"/>
  <c r="U66" i="1"/>
  <c r="T66" i="1"/>
  <c r="P66" i="1"/>
  <c r="O66" i="1"/>
  <c r="J66" i="1"/>
  <c r="I66" i="1"/>
  <c r="H66" i="1"/>
  <c r="G66" i="1"/>
  <c r="F66" i="1"/>
  <c r="E66" i="1"/>
  <c r="D66" i="1"/>
  <c r="C66" i="1"/>
  <c r="B66" i="1"/>
  <c r="T65" i="1"/>
  <c r="S65" i="1"/>
  <c r="R65" i="1"/>
  <c r="Q65" i="1"/>
  <c r="T64" i="1"/>
  <c r="S64" i="1"/>
  <c r="R64" i="1"/>
  <c r="Q64" i="1"/>
  <c r="T63" i="1"/>
  <c r="S63" i="1"/>
  <c r="R63" i="1"/>
  <c r="Q63" i="1"/>
  <c r="T62" i="1"/>
  <c r="S62" i="1"/>
  <c r="R62" i="1"/>
  <c r="Q62" i="1"/>
  <c r="T61" i="1"/>
  <c r="S61" i="1"/>
  <c r="R61" i="1"/>
  <c r="Q61" i="1"/>
  <c r="T60" i="1"/>
  <c r="S60" i="1"/>
  <c r="R60" i="1"/>
  <c r="Q60" i="1"/>
  <c r="T59" i="1"/>
  <c r="S59" i="1"/>
  <c r="R59" i="1"/>
  <c r="Q59" i="1"/>
  <c r="T58" i="1"/>
  <c r="S58" i="1"/>
  <c r="R58" i="1"/>
  <c r="Q58" i="1"/>
  <c r="T57" i="1"/>
  <c r="S57" i="1"/>
  <c r="R57" i="1"/>
  <c r="Q57" i="1"/>
  <c r="T56" i="1"/>
  <c r="S56" i="1"/>
  <c r="R56" i="1"/>
  <c r="Q56" i="1"/>
  <c r="T55" i="1"/>
  <c r="S55" i="1"/>
  <c r="R55" i="1"/>
  <c r="Q55" i="1"/>
  <c r="T54" i="1"/>
  <c r="S54" i="1"/>
  <c r="R54" i="1"/>
  <c r="Q54" i="1"/>
  <c r="T53" i="1"/>
  <c r="S53" i="1"/>
  <c r="R53" i="1"/>
  <c r="Q53" i="1"/>
  <c r="T52" i="1"/>
  <c r="S52" i="1"/>
  <c r="R52" i="1"/>
  <c r="Q52" i="1"/>
  <c r="T51" i="1"/>
  <c r="S51" i="1"/>
  <c r="R51" i="1"/>
  <c r="Q51" i="1"/>
  <c r="T50" i="1"/>
  <c r="S50" i="1"/>
  <c r="R50" i="1"/>
  <c r="Q50" i="1"/>
  <c r="T49" i="1"/>
  <c r="S49" i="1"/>
  <c r="R49" i="1"/>
  <c r="Q49" i="1"/>
  <c r="T48" i="1"/>
  <c r="S48" i="1"/>
  <c r="R48" i="1"/>
  <c r="Q48" i="1"/>
  <c r="T47" i="1"/>
  <c r="S47" i="1"/>
  <c r="R47" i="1"/>
  <c r="Q47" i="1"/>
  <c r="T46" i="1"/>
  <c r="S46" i="1"/>
  <c r="R46" i="1"/>
  <c r="Q46" i="1"/>
  <c r="T45" i="1"/>
  <c r="S45" i="1"/>
  <c r="R45" i="1"/>
  <c r="Q45" i="1"/>
  <c r="T44" i="1"/>
  <c r="S44" i="1"/>
  <c r="R44" i="1"/>
  <c r="Q44" i="1"/>
  <c r="T43" i="1"/>
  <c r="S43" i="1"/>
  <c r="R43" i="1"/>
  <c r="Q43" i="1"/>
  <c r="T42" i="1"/>
  <c r="S42" i="1"/>
  <c r="R42" i="1"/>
  <c r="Q42" i="1"/>
  <c r="T41" i="1"/>
  <c r="S41" i="1"/>
  <c r="R41" i="1"/>
  <c r="Q41" i="1"/>
  <c r="T40" i="1"/>
  <c r="S40" i="1"/>
  <c r="R40" i="1"/>
  <c r="Q40" i="1"/>
  <c r="T39" i="1"/>
  <c r="S39" i="1"/>
  <c r="R39" i="1"/>
  <c r="Q39" i="1"/>
  <c r="T38" i="1"/>
  <c r="S38" i="1"/>
  <c r="R38" i="1"/>
  <c r="R66" i="1" s="1"/>
  <c r="Q38" i="1"/>
  <c r="T37" i="1"/>
  <c r="S37" i="1"/>
  <c r="R37" i="1"/>
  <c r="Q37" i="1"/>
  <c r="T36" i="1"/>
  <c r="S36" i="1"/>
  <c r="S67" i="1" s="1"/>
  <c r="R36" i="1"/>
  <c r="R67" i="1" s="1"/>
  <c r="Q36" i="1"/>
  <c r="Q66" i="1" s="1"/>
  <c r="Y33" i="1"/>
  <c r="X33" i="1"/>
  <c r="W33" i="1"/>
  <c r="T33" i="1"/>
  <c r="S33" i="1"/>
  <c r="R33" i="1"/>
  <c r="Q33" i="1"/>
  <c r="P33" i="1"/>
  <c r="O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T32" i="1"/>
  <c r="S32" i="1"/>
  <c r="R32" i="1"/>
  <c r="Q32" i="1"/>
  <c r="P32" i="1"/>
  <c r="O32" i="1"/>
  <c r="L32" i="1"/>
  <c r="K32" i="1"/>
  <c r="J32" i="1"/>
  <c r="I32" i="1"/>
  <c r="H32" i="1"/>
  <c r="G32" i="1"/>
  <c r="F32" i="1"/>
  <c r="E32" i="1"/>
  <c r="D32" i="1"/>
  <c r="C32" i="1"/>
  <c r="B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V4" i="1"/>
  <c r="U4" i="1"/>
  <c r="V3" i="1"/>
  <c r="V33" i="1" s="1"/>
  <c r="U3" i="1"/>
  <c r="U32" i="1" s="1"/>
  <c r="V2" i="1"/>
  <c r="V32" i="1" s="1"/>
  <c r="U2" i="1"/>
  <c r="S66" i="1" l="1"/>
  <c r="Q67" i="1"/>
  <c r="U33" i="1"/>
</calcChain>
</file>

<file path=xl/sharedStrings.xml><?xml version="1.0" encoding="utf-8"?>
<sst xmlns="http://schemas.openxmlformats.org/spreadsheetml/2006/main" count="52" uniqueCount="23">
  <si>
    <t>PPT</t>
  </si>
  <si>
    <t>Psame_Low_S</t>
  </si>
  <si>
    <t>Psame_Sham_O</t>
  </si>
  <si>
    <t>Psame_high_O</t>
  </si>
  <si>
    <t>Psame_Sham_S</t>
  </si>
  <si>
    <t>Psame_high_S</t>
  </si>
  <si>
    <t>Lsigma</t>
  </si>
  <si>
    <t>LSigmaS</t>
  </si>
  <si>
    <t>Lapse</t>
  </si>
  <si>
    <t>NLL</t>
  </si>
  <si>
    <t>Pseudo-R2</t>
  </si>
  <si>
    <t>Sigma</t>
  </si>
  <si>
    <t>SigmaS</t>
  </si>
  <si>
    <t>Mean</t>
  </si>
  <si>
    <t>SD</t>
  </si>
  <si>
    <t>Psame_O</t>
  </si>
  <si>
    <t>Psame_S</t>
  </si>
  <si>
    <t>Lsigma_Low</t>
  </si>
  <si>
    <t>Lsigma_Sham</t>
  </si>
  <si>
    <t>Lsigma_High</t>
  </si>
  <si>
    <t>LSgma_Low</t>
  </si>
  <si>
    <t>Sigma_Sham</t>
  </si>
  <si>
    <t>Sigma_High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</si>
</sst>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2" fontId="0" fillId="0" borderId="0" xfId="0" applyNumberFormat="1"/>
    <xf numFmtId="1" fontId="0" fillId="0" borderId="7" xfId="0" applyNumberFormat="1" applyBorder="1"/>
    <xf numFmtId="2" fontId="0" fillId="0" borderId="8" xfId="0" applyNumberFormat="1" applyBorder="1"/>
    <xf numFmtId="2" fontId="0" fillId="0" borderId="6" xfId="0" applyNumberFormat="1" applyBorder="1"/>
    <xf numFmtId="1" fontId="0" fillId="0" borderId="0" xfId="0" applyNumberFormat="1"/>
    <xf numFmtId="2" fontId="0" fillId="0" borderId="9" xfId="0" applyNumberFormat="1" applyBorder="1"/>
    <xf numFmtId="1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1" fontId="0" fillId="0" borderId="9" xfId="0" applyNumberFormat="1" applyBorder="1"/>
    <xf numFmtId="0" fontId="2" fillId="2" borderId="0" xfId="0" applyFont="1" applyFill="1"/>
    <xf numFmtId="2" fontId="2" fillId="2" borderId="0" xfId="0" applyNumberFormat="1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2" fontId="0" fillId="0" borderId="7" xfId="0" applyNumberFormat="1" applyBorder="1"/>
    <xf numFmtId="2" fontId="0" fillId="0" borderId="13" xfId="0" applyNumberFormat="1" applyBorder="1"/>
    <xf numFmtId="1" fontId="0" fillId="0" borderId="13" xfId="0" applyNumberFormat="1" applyBorder="1"/>
    <xf numFmtId="2" fontId="0" fillId="0" borderId="5" xfId="0" applyNumberFormat="1" applyBorder="1"/>
    <xf numFmtId="2" fontId="0" fillId="0" borderId="10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AC75-32EB-493F-A29D-6EC65B512724}">
  <dimension ref="A1:Y67"/>
  <sheetViews>
    <sheetView tabSelected="1" workbookViewId="0">
      <selection activeCell="M37" sqref="M37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10</v>
      </c>
      <c r="N1" s="5" t="s">
        <v>0</v>
      </c>
      <c r="O1" s="1" t="s">
        <v>1</v>
      </c>
      <c r="P1" s="2" t="s">
        <v>2</v>
      </c>
      <c r="Q1" s="2" t="s">
        <v>3</v>
      </c>
      <c r="R1" s="2" t="s">
        <v>1</v>
      </c>
      <c r="S1" s="2" t="s">
        <v>4</v>
      </c>
      <c r="T1" s="2" t="s">
        <v>5</v>
      </c>
      <c r="U1" s="2" t="s">
        <v>11</v>
      </c>
      <c r="V1" s="2" t="s">
        <v>12</v>
      </c>
      <c r="W1" s="2" t="s">
        <v>8</v>
      </c>
      <c r="X1" s="3" t="s">
        <v>9</v>
      </c>
      <c r="Y1" s="3" t="s">
        <v>10</v>
      </c>
    </row>
    <row r="2" spans="1:25" x14ac:dyDescent="0.3">
      <c r="A2" s="6">
        <v>1</v>
      </c>
      <c r="B2" s="7">
        <v>0.99999802994279896</v>
      </c>
      <c r="C2" s="7">
        <v>0.84244818732889803</v>
      </c>
      <c r="D2" s="7">
        <v>0.76143343558777599</v>
      </c>
      <c r="E2" s="7">
        <v>0.95721524147715797</v>
      </c>
      <c r="F2" s="7">
        <v>0.79136701000058995</v>
      </c>
      <c r="G2" s="7">
        <v>0.56444756541732499</v>
      </c>
      <c r="H2" s="7">
        <v>4.3354625528513004</v>
      </c>
      <c r="I2" s="7">
        <v>5.6692860389127304</v>
      </c>
      <c r="J2" s="7">
        <v>0.256759001123953</v>
      </c>
      <c r="K2" s="8">
        <v>212.36230855789</v>
      </c>
      <c r="L2" s="9">
        <v>0.982033891646515</v>
      </c>
      <c r="N2" s="6">
        <v>1</v>
      </c>
      <c r="O2" s="10">
        <v>0.99999802994279896</v>
      </c>
      <c r="P2" s="7">
        <v>0.84244818732889803</v>
      </c>
      <c r="Q2" s="7">
        <v>0.76143343558777599</v>
      </c>
      <c r="R2" s="7">
        <v>0.95721524147715797</v>
      </c>
      <c r="S2" s="7">
        <v>0.79136701000058995</v>
      </c>
      <c r="T2" s="7">
        <v>0.56444756541732499</v>
      </c>
      <c r="U2" s="11">
        <f>EXP(H2)</f>
        <v>76.360271383445266</v>
      </c>
      <c r="V2" s="11">
        <f>EXP(I2)</f>
        <v>289.82753492379027</v>
      </c>
      <c r="W2" s="7">
        <v>0.256759001123953</v>
      </c>
      <c r="X2" s="8">
        <v>212.36230855789</v>
      </c>
      <c r="Y2" s="9">
        <v>0.982033891646515</v>
      </c>
    </row>
    <row r="3" spans="1:25" x14ac:dyDescent="0.3">
      <c r="A3" s="6">
        <v>2</v>
      </c>
      <c r="B3" s="7">
        <v>0.99607242428085196</v>
      </c>
      <c r="C3" s="7">
        <v>0.96606205659607103</v>
      </c>
      <c r="D3" s="7">
        <v>0.90846493750346002</v>
      </c>
      <c r="E3" s="7">
        <v>0.96119348540375404</v>
      </c>
      <c r="F3" s="7">
        <v>0.86086033571400999</v>
      </c>
      <c r="G3" s="7">
        <v>0.56905463267181899</v>
      </c>
      <c r="H3" s="7">
        <v>4.2779566394390098</v>
      </c>
      <c r="I3" s="7">
        <v>5.6692860389127304</v>
      </c>
      <c r="J3" s="7">
        <v>6.8007904519471293E-2</v>
      </c>
      <c r="K3" s="8">
        <v>146.195366616504</v>
      </c>
      <c r="L3" s="9">
        <v>0.99720032759380495</v>
      </c>
      <c r="N3" s="6">
        <v>2</v>
      </c>
      <c r="O3" s="10">
        <v>0.99607242428085196</v>
      </c>
      <c r="P3" s="7">
        <v>0.96606205659607103</v>
      </c>
      <c r="Q3" s="7">
        <v>0.90846493750346002</v>
      </c>
      <c r="R3" s="7">
        <v>0.96119348540375404</v>
      </c>
      <c r="S3" s="7">
        <v>0.86086033571400999</v>
      </c>
      <c r="T3" s="7">
        <v>0.56905463267181899</v>
      </c>
      <c r="U3" s="11">
        <f t="shared" ref="U3:V31" si="0">EXP(H3)</f>
        <v>72.092977452199136</v>
      </c>
      <c r="V3" s="11">
        <f t="shared" si="0"/>
        <v>289.82753492379027</v>
      </c>
      <c r="W3" s="7">
        <v>6.8007904519471293E-2</v>
      </c>
      <c r="X3" s="8">
        <v>146.195366616504</v>
      </c>
      <c r="Y3" s="9">
        <v>0.99720032759380495</v>
      </c>
    </row>
    <row r="4" spans="1:25" x14ac:dyDescent="0.3">
      <c r="A4" s="6">
        <v>3</v>
      </c>
      <c r="B4" s="7">
        <v>0.62313120644456599</v>
      </c>
      <c r="C4" s="7">
        <v>0.76483142398165005</v>
      </c>
      <c r="D4" s="7">
        <v>0.75186318971618704</v>
      </c>
      <c r="E4" s="7">
        <v>0.42676024578569199</v>
      </c>
      <c r="F4" s="7">
        <v>0.39740865040067802</v>
      </c>
      <c r="G4" s="7">
        <v>0.42340736898941</v>
      </c>
      <c r="H4" s="7">
        <v>4.7912392712539704</v>
      </c>
      <c r="I4" s="7">
        <v>5.6692860389127304</v>
      </c>
      <c r="J4" s="7">
        <v>1.5112669345126901E-8</v>
      </c>
      <c r="K4" s="8">
        <v>188.379744191583</v>
      </c>
      <c r="L4" s="9">
        <v>0.98145186397512396</v>
      </c>
      <c r="N4" s="6">
        <v>3</v>
      </c>
      <c r="O4" s="10">
        <v>0.62313120644456599</v>
      </c>
      <c r="P4" s="7">
        <v>0.76483142398165005</v>
      </c>
      <c r="Q4" s="7">
        <v>0.75186318971618704</v>
      </c>
      <c r="R4" s="7">
        <v>0.42676024578569199</v>
      </c>
      <c r="S4" s="7">
        <v>0.39740865040067802</v>
      </c>
      <c r="T4" s="7">
        <v>0.42340736898941</v>
      </c>
      <c r="U4" s="11">
        <f t="shared" si="0"/>
        <v>120.45054710840023</v>
      </c>
      <c r="V4" s="11">
        <f t="shared" si="0"/>
        <v>289.82753492379027</v>
      </c>
      <c r="W4" s="7">
        <v>1.5112669345126901E-8</v>
      </c>
      <c r="X4" s="8">
        <v>188.379744191583</v>
      </c>
      <c r="Y4" s="9">
        <v>0.98145186397512396</v>
      </c>
    </row>
    <row r="5" spans="1:25" x14ac:dyDescent="0.3">
      <c r="A5" s="6">
        <v>4</v>
      </c>
      <c r="B5" s="7">
        <v>0.73037325644399997</v>
      </c>
      <c r="C5" s="7">
        <v>0.47975599647034001</v>
      </c>
      <c r="D5" s="7">
        <v>0.63926099168602402</v>
      </c>
      <c r="E5" s="7">
        <v>0.60157909061526904</v>
      </c>
      <c r="F5" s="7">
        <v>0.398132691218052</v>
      </c>
      <c r="G5" s="7">
        <v>0.362660572119057</v>
      </c>
      <c r="H5" s="7">
        <v>4.3871663517784301</v>
      </c>
      <c r="I5" s="7">
        <v>5.6692860389127304</v>
      </c>
      <c r="J5" s="7">
        <v>0.22395718587938601</v>
      </c>
      <c r="K5" s="8">
        <v>219.840294173036</v>
      </c>
      <c r="L5" s="9">
        <v>0.99214597869113696</v>
      </c>
      <c r="N5" s="6">
        <v>4</v>
      </c>
      <c r="O5" s="10">
        <v>0.73037325644399997</v>
      </c>
      <c r="P5" s="7">
        <v>0.47975599647034001</v>
      </c>
      <c r="Q5" s="7">
        <v>0.63926099168602402</v>
      </c>
      <c r="R5" s="7">
        <v>0.60157909061526904</v>
      </c>
      <c r="S5" s="7">
        <v>0.398132691218052</v>
      </c>
      <c r="T5" s="7">
        <v>0.362660572119057</v>
      </c>
      <c r="U5" s="11">
        <f t="shared" si="0"/>
        <v>80.412235848693314</v>
      </c>
      <c r="V5" s="11">
        <f t="shared" si="0"/>
        <v>289.82753492379027</v>
      </c>
      <c r="W5" s="7">
        <v>0.22395718587938601</v>
      </c>
      <c r="X5" s="8">
        <v>219.840294173036</v>
      </c>
      <c r="Y5" s="9">
        <v>0.99214597869113696</v>
      </c>
    </row>
    <row r="6" spans="1:25" x14ac:dyDescent="0.3">
      <c r="A6" s="6">
        <v>5</v>
      </c>
      <c r="B6" s="7">
        <v>0.40102185590894801</v>
      </c>
      <c r="C6" s="7">
        <v>0.45746970827058298</v>
      </c>
      <c r="D6" s="7">
        <v>0.29742465115814398</v>
      </c>
      <c r="E6" s="7">
        <v>0.43763146162255001</v>
      </c>
      <c r="F6" s="7">
        <v>0.37180027209851702</v>
      </c>
      <c r="G6" s="7">
        <v>0.31517132123062802</v>
      </c>
      <c r="H6" s="7">
        <v>4.1533643181528497</v>
      </c>
      <c r="I6" s="7">
        <v>5.6692860389127304</v>
      </c>
      <c r="J6" s="7">
        <v>9.6379039725160994E-16</v>
      </c>
      <c r="K6" s="8">
        <v>131.900927314418</v>
      </c>
      <c r="L6" s="9">
        <v>0.99869743977227798</v>
      </c>
      <c r="N6" s="6">
        <v>5</v>
      </c>
      <c r="O6" s="10">
        <v>0.40102185590894801</v>
      </c>
      <c r="P6" s="7">
        <v>0.45746970827058298</v>
      </c>
      <c r="Q6" s="7">
        <v>0.29742465115814398</v>
      </c>
      <c r="R6" s="7">
        <v>0.43763146162255001</v>
      </c>
      <c r="S6" s="7">
        <v>0.37180027209851702</v>
      </c>
      <c r="T6" s="7">
        <v>0.31517132123062802</v>
      </c>
      <c r="U6" s="11">
        <f t="shared" si="0"/>
        <v>63.647771852961917</v>
      </c>
      <c r="V6" s="11">
        <f t="shared" si="0"/>
        <v>289.82753492379027</v>
      </c>
      <c r="W6" s="7">
        <v>9.6379039725160994E-16</v>
      </c>
      <c r="X6" s="8">
        <v>131.900927314418</v>
      </c>
      <c r="Y6" s="9">
        <v>0.99869743977227798</v>
      </c>
    </row>
    <row r="7" spans="1:25" x14ac:dyDescent="0.3">
      <c r="A7" s="6">
        <v>6</v>
      </c>
      <c r="B7" s="7">
        <v>0.99999999955047103</v>
      </c>
      <c r="C7" s="7">
        <v>0.97210537367544703</v>
      </c>
      <c r="D7" s="7">
        <v>0.99652684766567801</v>
      </c>
      <c r="E7" s="7">
        <v>0.69987873237262199</v>
      </c>
      <c r="F7" s="7">
        <v>0.55770217018847501</v>
      </c>
      <c r="G7" s="7">
        <v>0.409197158929544</v>
      </c>
      <c r="H7" s="7">
        <v>4.00513984229167</v>
      </c>
      <c r="I7" s="7">
        <v>5.6692860389127304</v>
      </c>
      <c r="J7" s="7">
        <v>0.254733786006476</v>
      </c>
      <c r="K7" s="8">
        <v>203.17660315567801</v>
      </c>
      <c r="L7" s="9">
        <v>0.97809794071209499</v>
      </c>
      <c r="N7" s="6">
        <v>6</v>
      </c>
      <c r="O7" s="10">
        <v>0.99999999955047103</v>
      </c>
      <c r="P7" s="7">
        <v>0.97210537367544703</v>
      </c>
      <c r="Q7" s="7">
        <v>0.99652684766567801</v>
      </c>
      <c r="R7" s="7">
        <v>0.69987873237262199</v>
      </c>
      <c r="S7" s="7">
        <v>0.55770217018847501</v>
      </c>
      <c r="T7" s="7">
        <v>0.409197158929544</v>
      </c>
      <c r="U7" s="11">
        <f t="shared" si="0"/>
        <v>54.879498337300213</v>
      </c>
      <c r="V7" s="11">
        <f t="shared" si="0"/>
        <v>289.82753492379027</v>
      </c>
      <c r="W7" s="7">
        <v>0.254733786006476</v>
      </c>
      <c r="X7" s="8">
        <v>203.17660315567801</v>
      </c>
      <c r="Y7" s="9">
        <v>0.97809794071209499</v>
      </c>
    </row>
    <row r="8" spans="1:25" x14ac:dyDescent="0.3">
      <c r="A8" s="6">
        <v>7</v>
      </c>
      <c r="B8" s="7">
        <v>0.95754540167032798</v>
      </c>
      <c r="C8" s="7">
        <v>0.836425093067797</v>
      </c>
      <c r="D8" s="7">
        <v>0.74986993896938603</v>
      </c>
      <c r="E8" s="7">
        <v>0.94576438553851006</v>
      </c>
      <c r="F8" s="7">
        <v>0.75049419864494404</v>
      </c>
      <c r="G8" s="7">
        <v>0.68362179910565402</v>
      </c>
      <c r="H8" s="7">
        <v>4.1681403302330899</v>
      </c>
      <c r="I8" s="7">
        <v>5.6692860389127304</v>
      </c>
      <c r="J8" s="7">
        <v>4.63977416365039E-15</v>
      </c>
      <c r="K8" s="8">
        <v>127.316813944988</v>
      </c>
      <c r="L8" s="9">
        <v>0.999172855799485</v>
      </c>
      <c r="N8" s="6">
        <v>7</v>
      </c>
      <c r="O8" s="10">
        <v>0.95754540167032798</v>
      </c>
      <c r="P8" s="7">
        <v>0.836425093067797</v>
      </c>
      <c r="Q8" s="7">
        <v>0.74986993896938603</v>
      </c>
      <c r="R8" s="7">
        <v>0.94576438553851006</v>
      </c>
      <c r="S8" s="7">
        <v>0.75049419864494404</v>
      </c>
      <c r="T8" s="7">
        <v>0.68362179910565402</v>
      </c>
      <c r="U8" s="11">
        <f t="shared" si="0"/>
        <v>64.595214573372601</v>
      </c>
      <c r="V8" s="11">
        <f t="shared" si="0"/>
        <v>289.82753492379027</v>
      </c>
      <c r="W8" s="7">
        <v>4.63977416365039E-15</v>
      </c>
      <c r="X8" s="8">
        <v>127.316813944988</v>
      </c>
      <c r="Y8" s="9">
        <v>0.999172855799485</v>
      </c>
    </row>
    <row r="9" spans="1:25" x14ac:dyDescent="0.3">
      <c r="A9" s="6">
        <v>8</v>
      </c>
      <c r="B9" s="7">
        <v>0.56303401828454303</v>
      </c>
      <c r="C9" s="7">
        <v>0.72601399989598603</v>
      </c>
      <c r="D9" s="7">
        <v>0.51978951531432405</v>
      </c>
      <c r="E9" s="7">
        <v>0.69199722924354301</v>
      </c>
      <c r="F9" s="7">
        <v>0.633664129128374</v>
      </c>
      <c r="G9" s="7">
        <v>0.44757566883099598</v>
      </c>
      <c r="H9" s="7">
        <v>4.3777840110683401</v>
      </c>
      <c r="I9" s="7">
        <v>5.6692860389127304</v>
      </c>
      <c r="J9" s="7">
        <v>1.37570874047418E-2</v>
      </c>
      <c r="K9" s="8">
        <v>160.300837852689</v>
      </c>
      <c r="L9" s="9">
        <v>0.99629868892502604</v>
      </c>
      <c r="N9" s="6">
        <v>8</v>
      </c>
      <c r="O9" s="10">
        <v>0.56303401828454303</v>
      </c>
      <c r="P9" s="7">
        <v>0.72601399989598603</v>
      </c>
      <c r="Q9" s="7">
        <v>0.51978951531432405</v>
      </c>
      <c r="R9" s="7">
        <v>0.69199722924354301</v>
      </c>
      <c r="S9" s="7">
        <v>0.633664129128374</v>
      </c>
      <c r="T9" s="7">
        <v>0.44757566883099598</v>
      </c>
      <c r="U9" s="11">
        <f t="shared" si="0"/>
        <v>79.661309088616619</v>
      </c>
      <c r="V9" s="11">
        <f t="shared" si="0"/>
        <v>289.82753492379027</v>
      </c>
      <c r="W9" s="7">
        <v>1.37570874047418E-2</v>
      </c>
      <c r="X9" s="8">
        <v>160.300837852689</v>
      </c>
      <c r="Y9" s="9">
        <v>0.99629868892502604</v>
      </c>
    </row>
    <row r="10" spans="1:25" x14ac:dyDescent="0.3">
      <c r="A10" s="6">
        <v>9</v>
      </c>
      <c r="B10" s="7">
        <v>0.70152709266294599</v>
      </c>
      <c r="C10" s="7">
        <v>0.54936444527588701</v>
      </c>
      <c r="D10" s="7">
        <v>0.58916050367001904</v>
      </c>
      <c r="E10" s="7">
        <v>0.49160887440671103</v>
      </c>
      <c r="F10" s="7">
        <v>0.56763911082380203</v>
      </c>
      <c r="G10" s="7">
        <v>0.57312222724508499</v>
      </c>
      <c r="H10" s="7">
        <v>4.8274970871302703</v>
      </c>
      <c r="I10" s="7">
        <v>5.6692860389127304</v>
      </c>
      <c r="J10" s="7">
        <v>5.6120722842296897E-2</v>
      </c>
      <c r="K10" s="8">
        <v>202.36303303026699</v>
      </c>
      <c r="L10" s="9">
        <v>0.97493063502266897</v>
      </c>
      <c r="N10" s="6">
        <v>9</v>
      </c>
      <c r="O10" s="10">
        <v>0.70152709266294599</v>
      </c>
      <c r="P10" s="7">
        <v>0.54936444527588701</v>
      </c>
      <c r="Q10" s="7">
        <v>0.58916050367001904</v>
      </c>
      <c r="R10" s="7">
        <v>0.49160887440671103</v>
      </c>
      <c r="S10" s="7">
        <v>0.56763911082380203</v>
      </c>
      <c r="T10" s="7">
        <v>0.57312222724508499</v>
      </c>
      <c r="U10" s="11">
        <f t="shared" si="0"/>
        <v>124.8979603994958</v>
      </c>
      <c r="V10" s="11">
        <f t="shared" si="0"/>
        <v>289.82753492379027</v>
      </c>
      <c r="W10" s="7">
        <v>5.6120722842296897E-2</v>
      </c>
      <c r="X10" s="8">
        <v>202.36303303026699</v>
      </c>
      <c r="Y10" s="9">
        <v>0.97493063502266897</v>
      </c>
    </row>
    <row r="11" spans="1:25" x14ac:dyDescent="0.3">
      <c r="A11" s="6">
        <v>10</v>
      </c>
      <c r="B11" s="7">
        <v>0.94754339187568404</v>
      </c>
      <c r="C11" s="7">
        <v>0.61534424192072401</v>
      </c>
      <c r="D11" s="7">
        <v>0.608523973340937</v>
      </c>
      <c r="E11" s="7">
        <v>0.71497044097836504</v>
      </c>
      <c r="F11" s="7">
        <v>0.54014132989746</v>
      </c>
      <c r="G11" s="7">
        <v>0.48194001126181002</v>
      </c>
      <c r="H11" s="7">
        <v>4.2655394769650297</v>
      </c>
      <c r="I11" s="7">
        <v>5.6692860389127304</v>
      </c>
      <c r="J11" s="7">
        <v>9.9436745835652707E-2</v>
      </c>
      <c r="K11" s="8">
        <v>178.955941933654</v>
      </c>
      <c r="L11" s="9">
        <v>0.98391885963738601</v>
      </c>
      <c r="N11" s="6">
        <v>10</v>
      </c>
      <c r="O11" s="10">
        <v>0.94754339187568404</v>
      </c>
      <c r="P11" s="7">
        <v>0.61534424192072401</v>
      </c>
      <c r="Q11" s="7">
        <v>0.608523973340937</v>
      </c>
      <c r="R11" s="7">
        <v>0.71497044097836504</v>
      </c>
      <c r="S11" s="7">
        <v>0.54014132989746</v>
      </c>
      <c r="T11" s="7">
        <v>0.48194001126181002</v>
      </c>
      <c r="U11" s="11">
        <f t="shared" si="0"/>
        <v>71.203322166056608</v>
      </c>
      <c r="V11" s="11">
        <f t="shared" si="0"/>
        <v>289.82753492379027</v>
      </c>
      <c r="W11" s="7">
        <v>9.9436745835652707E-2</v>
      </c>
      <c r="X11" s="8">
        <v>178.955941933654</v>
      </c>
      <c r="Y11" s="9">
        <v>0.98391885963738601</v>
      </c>
    </row>
    <row r="12" spans="1:25" x14ac:dyDescent="0.3">
      <c r="A12" s="6">
        <v>11</v>
      </c>
      <c r="B12" s="7">
        <v>0.83136145544558504</v>
      </c>
      <c r="C12" s="7">
        <v>0.87781595825144898</v>
      </c>
      <c r="D12" s="7">
        <v>0.86924707133639501</v>
      </c>
      <c r="E12" s="7">
        <v>0.69330475953556803</v>
      </c>
      <c r="F12" s="7">
        <v>0.56019962235313903</v>
      </c>
      <c r="G12" s="7">
        <v>0.59416050431991596</v>
      </c>
      <c r="H12" s="7">
        <v>4.5962615834059797</v>
      </c>
      <c r="I12" s="7">
        <v>5.6692860389127304</v>
      </c>
      <c r="J12" s="7">
        <v>0.118734510814926</v>
      </c>
      <c r="K12" s="8">
        <v>188.650163569488</v>
      </c>
      <c r="L12" s="9">
        <v>0.98771520686247105</v>
      </c>
      <c r="N12" s="6">
        <v>11</v>
      </c>
      <c r="O12" s="10">
        <v>0.83136145544558504</v>
      </c>
      <c r="P12" s="7">
        <v>0.87781595825144898</v>
      </c>
      <c r="Q12" s="7">
        <v>0.86924707133639501</v>
      </c>
      <c r="R12" s="7">
        <v>0.69330475953556803</v>
      </c>
      <c r="S12" s="7">
        <v>0.56019962235313903</v>
      </c>
      <c r="T12" s="7">
        <v>0.59416050431991596</v>
      </c>
      <c r="U12" s="11">
        <f t="shared" si="0"/>
        <v>99.11309614439746</v>
      </c>
      <c r="V12" s="11">
        <f t="shared" si="0"/>
        <v>289.82753492379027</v>
      </c>
      <c r="W12" s="7">
        <v>0.118734510814926</v>
      </c>
      <c r="X12" s="8">
        <v>188.650163569488</v>
      </c>
      <c r="Y12" s="9">
        <v>0.98771520686247105</v>
      </c>
    </row>
    <row r="13" spans="1:25" x14ac:dyDescent="0.3">
      <c r="A13" s="6">
        <v>12</v>
      </c>
      <c r="B13" s="7">
        <v>0.95838846149586099</v>
      </c>
      <c r="C13" s="7">
        <v>0.81523965839560297</v>
      </c>
      <c r="D13" s="7">
        <v>0.68222546384840799</v>
      </c>
      <c r="E13" s="7">
        <v>0.44689484988648498</v>
      </c>
      <c r="F13" s="7">
        <v>0.47681068003444099</v>
      </c>
      <c r="G13" s="7">
        <v>0.32826247672146602</v>
      </c>
      <c r="H13" s="7">
        <v>4.2121297209555504</v>
      </c>
      <c r="I13" s="7">
        <v>5.6692860389127304</v>
      </c>
      <c r="J13" s="7">
        <v>6.04354061145446E-2</v>
      </c>
      <c r="K13" s="8">
        <v>161.93820180717501</v>
      </c>
      <c r="L13" s="9">
        <v>0.992149085017074</v>
      </c>
      <c r="N13" s="6">
        <v>12</v>
      </c>
      <c r="O13" s="10">
        <v>0.95838846149586099</v>
      </c>
      <c r="P13" s="7">
        <v>0.81523965839560297</v>
      </c>
      <c r="Q13" s="7">
        <v>0.68222546384840799</v>
      </c>
      <c r="R13" s="7">
        <v>0.44689484988648498</v>
      </c>
      <c r="S13" s="7">
        <v>0.47681068003444099</v>
      </c>
      <c r="T13" s="7">
        <v>0.32826247672146602</v>
      </c>
      <c r="U13" s="11">
        <f t="shared" si="0"/>
        <v>67.500143307854103</v>
      </c>
      <c r="V13" s="11">
        <f t="shared" si="0"/>
        <v>289.82753492379027</v>
      </c>
      <c r="W13" s="7">
        <v>6.04354061145446E-2</v>
      </c>
      <c r="X13" s="8">
        <v>161.93820180717501</v>
      </c>
      <c r="Y13" s="9">
        <v>0.992149085017074</v>
      </c>
    </row>
    <row r="14" spans="1:25" x14ac:dyDescent="0.3">
      <c r="A14" s="6">
        <v>13</v>
      </c>
      <c r="B14" s="7">
        <v>0.74420186749707695</v>
      </c>
      <c r="C14" s="7">
        <v>0.75828262829950299</v>
      </c>
      <c r="D14" s="7">
        <v>0.63850730105214104</v>
      </c>
      <c r="E14" s="7">
        <v>0.551345859150842</v>
      </c>
      <c r="F14" s="7">
        <v>0.65744307298073201</v>
      </c>
      <c r="G14" s="7">
        <v>0.48975740784699201</v>
      </c>
      <c r="H14" s="7">
        <v>4.8617649726445498</v>
      </c>
      <c r="I14" s="7">
        <v>5.6692860389127304</v>
      </c>
      <c r="J14" s="7">
        <v>9.9762619728232698E-12</v>
      </c>
      <c r="K14" s="8">
        <v>186.30020937441799</v>
      </c>
      <c r="L14" s="9">
        <v>0.97868802501617302</v>
      </c>
      <c r="N14" s="6">
        <v>13</v>
      </c>
      <c r="O14" s="10">
        <v>0.74420186749707695</v>
      </c>
      <c r="P14" s="7">
        <v>0.75828262829950299</v>
      </c>
      <c r="Q14" s="7">
        <v>0.63850730105214104</v>
      </c>
      <c r="R14" s="7">
        <v>0.551345859150842</v>
      </c>
      <c r="S14" s="7">
        <v>0.65744307298073201</v>
      </c>
      <c r="T14" s="7">
        <v>0.48975740784699201</v>
      </c>
      <c r="U14" s="11">
        <f t="shared" si="0"/>
        <v>129.25212737634692</v>
      </c>
      <c r="V14" s="11">
        <f t="shared" si="0"/>
        <v>289.82753492379027</v>
      </c>
      <c r="W14" s="7">
        <v>9.9762619728232698E-12</v>
      </c>
      <c r="X14" s="8">
        <v>186.30020937441799</v>
      </c>
      <c r="Y14" s="9">
        <v>0.97868802501617302</v>
      </c>
    </row>
    <row r="15" spans="1:25" x14ac:dyDescent="0.3">
      <c r="A15" s="6">
        <v>14</v>
      </c>
      <c r="B15" s="7">
        <v>0.91372182659599199</v>
      </c>
      <c r="C15" s="7">
        <v>0.72472211074429504</v>
      </c>
      <c r="D15" s="7">
        <v>0.58018639505845604</v>
      </c>
      <c r="E15" s="7">
        <v>0.72356907874148302</v>
      </c>
      <c r="F15" s="7">
        <v>0.61635824461069699</v>
      </c>
      <c r="G15" s="7">
        <v>0.54995557038782905</v>
      </c>
      <c r="H15" s="7">
        <v>4.2540989189814402</v>
      </c>
      <c r="I15" s="7">
        <v>5.6692860389127304</v>
      </c>
      <c r="J15" s="7">
        <v>9.9647389165242198E-2</v>
      </c>
      <c r="K15" s="8">
        <v>178.891667145512</v>
      </c>
      <c r="L15" s="9">
        <v>0.98858945739607895</v>
      </c>
      <c r="N15" s="6">
        <v>14</v>
      </c>
      <c r="O15" s="10">
        <v>0.91372182659599199</v>
      </c>
      <c r="P15" s="7">
        <v>0.72472211074429504</v>
      </c>
      <c r="Q15" s="7">
        <v>0.58018639505845604</v>
      </c>
      <c r="R15" s="7">
        <v>0.72356907874148302</v>
      </c>
      <c r="S15" s="7">
        <v>0.61635824461069699</v>
      </c>
      <c r="T15" s="7">
        <v>0.54995557038782905</v>
      </c>
      <c r="U15" s="11">
        <f t="shared" si="0"/>
        <v>70.393358482847205</v>
      </c>
      <c r="V15" s="11">
        <f t="shared" si="0"/>
        <v>289.82753492379027</v>
      </c>
      <c r="W15" s="7">
        <v>9.9647389165242198E-2</v>
      </c>
      <c r="X15" s="8">
        <v>178.891667145512</v>
      </c>
      <c r="Y15" s="9">
        <v>0.98858945739607895</v>
      </c>
    </row>
    <row r="16" spans="1:25" x14ac:dyDescent="0.3">
      <c r="A16" s="6">
        <v>15</v>
      </c>
      <c r="B16" s="7">
        <v>0.98814202163189302</v>
      </c>
      <c r="C16" s="7">
        <v>0.90539828027761005</v>
      </c>
      <c r="D16" s="7">
        <v>0.90881502813813597</v>
      </c>
      <c r="E16" s="7">
        <v>0.704440710890194</v>
      </c>
      <c r="F16" s="7">
        <v>0.37924844769625499</v>
      </c>
      <c r="G16" s="7">
        <v>0.38452699620000502</v>
      </c>
      <c r="H16" s="7">
        <v>4.0642444213015896</v>
      </c>
      <c r="I16" s="7">
        <v>5.6692860389127304</v>
      </c>
      <c r="J16" s="7">
        <v>0.179809289096585</v>
      </c>
      <c r="K16" s="8">
        <v>189.998051682865</v>
      </c>
      <c r="L16" s="9">
        <v>0.99205870927241402</v>
      </c>
      <c r="N16" s="6">
        <v>15</v>
      </c>
      <c r="O16" s="10">
        <v>0.98814202163189302</v>
      </c>
      <c r="P16" s="7">
        <v>0.90539828027761005</v>
      </c>
      <c r="Q16" s="7">
        <v>0.90881502813813597</v>
      </c>
      <c r="R16" s="7">
        <v>0.704440710890194</v>
      </c>
      <c r="S16" s="7">
        <v>0.37924844769625499</v>
      </c>
      <c r="T16" s="7">
        <v>0.38452699620000502</v>
      </c>
      <c r="U16" s="11">
        <f t="shared" si="0"/>
        <v>58.220901426313389</v>
      </c>
      <c r="V16" s="11">
        <f t="shared" si="0"/>
        <v>289.82753492379027</v>
      </c>
      <c r="W16" s="7">
        <v>0.179809289096585</v>
      </c>
      <c r="X16" s="8">
        <v>189.998051682865</v>
      </c>
      <c r="Y16" s="9">
        <v>0.99205870927241402</v>
      </c>
    </row>
    <row r="17" spans="1:25" x14ac:dyDescent="0.3">
      <c r="A17" s="6">
        <v>16</v>
      </c>
      <c r="B17" s="7">
        <v>0.54287256761848601</v>
      </c>
      <c r="C17" s="7">
        <v>0.868228160205894</v>
      </c>
      <c r="D17" s="7">
        <v>0.90017676429323901</v>
      </c>
      <c r="E17" s="7">
        <v>0.40477062588655599</v>
      </c>
      <c r="F17" s="7">
        <v>0.38950896152879999</v>
      </c>
      <c r="G17" s="7">
        <v>0.35606881891730602</v>
      </c>
      <c r="H17" s="7">
        <v>4.6535212293844301</v>
      </c>
      <c r="I17" s="7">
        <v>5.6692860389127304</v>
      </c>
      <c r="J17" s="7">
        <v>0.20571393407327401</v>
      </c>
      <c r="K17" s="8">
        <v>221.22594555369301</v>
      </c>
      <c r="L17" s="9">
        <v>0.96646340846441103</v>
      </c>
      <c r="N17" s="6">
        <v>16</v>
      </c>
      <c r="O17" s="10">
        <v>0.54287256761848601</v>
      </c>
      <c r="P17" s="7">
        <v>0.868228160205894</v>
      </c>
      <c r="Q17" s="7">
        <v>0.90017676429323901</v>
      </c>
      <c r="R17" s="7">
        <v>0.40477062588655599</v>
      </c>
      <c r="S17" s="7">
        <v>0.38950896152879999</v>
      </c>
      <c r="T17" s="7">
        <v>0.35606881891730602</v>
      </c>
      <c r="U17" s="11">
        <f t="shared" si="0"/>
        <v>104.95390244076387</v>
      </c>
      <c r="V17" s="11">
        <f t="shared" si="0"/>
        <v>289.82753492379027</v>
      </c>
      <c r="W17" s="7">
        <v>0.20571393407327401</v>
      </c>
      <c r="X17" s="8">
        <v>221.22594555369301</v>
      </c>
      <c r="Y17" s="9">
        <v>0.96646340846441103</v>
      </c>
    </row>
    <row r="18" spans="1:25" x14ac:dyDescent="0.3">
      <c r="A18" s="6">
        <v>17</v>
      </c>
      <c r="B18" s="7">
        <v>0.84225829169408795</v>
      </c>
      <c r="C18" s="7">
        <v>0.86542080495237295</v>
      </c>
      <c r="D18" s="7">
        <v>0.65361690444769904</v>
      </c>
      <c r="E18" s="7">
        <v>0.59221176400460496</v>
      </c>
      <c r="F18" s="7">
        <v>0.71680396695828696</v>
      </c>
      <c r="G18" s="7">
        <v>0.51529826191308503</v>
      </c>
      <c r="H18" s="7">
        <v>4.7592646496141198</v>
      </c>
      <c r="I18" s="7">
        <v>5.6692860389127304</v>
      </c>
      <c r="J18" s="7">
        <v>2.54550176871033E-16</v>
      </c>
      <c r="K18" s="8">
        <v>167.691175068825</v>
      </c>
      <c r="L18" s="9">
        <v>0.99005782830100297</v>
      </c>
      <c r="N18" s="6">
        <v>17</v>
      </c>
      <c r="O18" s="10">
        <v>0.84225829169408795</v>
      </c>
      <c r="P18" s="7">
        <v>0.86542080495237295</v>
      </c>
      <c r="Q18" s="7">
        <v>0.65361690444769904</v>
      </c>
      <c r="R18" s="7">
        <v>0.59221176400460496</v>
      </c>
      <c r="S18" s="7">
        <v>0.71680396695828696</v>
      </c>
      <c r="T18" s="7">
        <v>0.51529826191308503</v>
      </c>
      <c r="U18" s="11">
        <f t="shared" si="0"/>
        <v>116.66010829420163</v>
      </c>
      <c r="V18" s="11">
        <f t="shared" si="0"/>
        <v>289.82753492379027</v>
      </c>
      <c r="W18" s="7">
        <v>2.54550176871033E-16</v>
      </c>
      <c r="X18" s="8">
        <v>167.691175068825</v>
      </c>
      <c r="Y18" s="9">
        <v>0.99005782830100297</v>
      </c>
    </row>
    <row r="19" spans="1:25" x14ac:dyDescent="0.3">
      <c r="A19" s="6">
        <v>18</v>
      </c>
      <c r="B19" s="7">
        <v>0.98918020472124202</v>
      </c>
      <c r="C19" s="7">
        <v>0.98720997013684297</v>
      </c>
      <c r="D19" s="7">
        <v>0.96552909822619004</v>
      </c>
      <c r="E19" s="7">
        <v>0.67402032240879906</v>
      </c>
      <c r="F19" s="7">
        <v>0.48645770733149601</v>
      </c>
      <c r="G19" s="7">
        <v>0.53174863268439798</v>
      </c>
      <c r="H19" s="7">
        <v>3.8668639828317501</v>
      </c>
      <c r="I19" s="7">
        <v>5.6692860389127304</v>
      </c>
      <c r="J19" s="7">
        <v>8.9208762589019695E-14</v>
      </c>
      <c r="K19" s="8">
        <v>104.133970046892</v>
      </c>
      <c r="L19" s="9">
        <v>0.99926772567477096</v>
      </c>
      <c r="N19" s="6">
        <v>18</v>
      </c>
      <c r="O19" s="10">
        <v>0.98918020472124202</v>
      </c>
      <c r="P19" s="7">
        <v>0.98720997013684297</v>
      </c>
      <c r="Q19" s="7">
        <v>0.96552909822619004</v>
      </c>
      <c r="R19" s="7">
        <v>0.67402032240879906</v>
      </c>
      <c r="S19" s="7">
        <v>0.48645770733149601</v>
      </c>
      <c r="T19" s="7">
        <v>0.53174863268439798</v>
      </c>
      <c r="U19" s="11">
        <f t="shared" si="0"/>
        <v>47.792273435923562</v>
      </c>
      <c r="V19" s="11">
        <f t="shared" si="0"/>
        <v>289.82753492379027</v>
      </c>
      <c r="W19" s="7">
        <v>8.9208762589019695E-14</v>
      </c>
      <c r="X19" s="8">
        <v>104.133970046892</v>
      </c>
      <c r="Y19" s="9">
        <v>0.99926772567477096</v>
      </c>
    </row>
    <row r="20" spans="1:25" x14ac:dyDescent="0.3">
      <c r="A20" s="6">
        <v>19</v>
      </c>
      <c r="B20" s="7">
        <v>0.97865893461209597</v>
      </c>
      <c r="C20" s="7">
        <v>0.97888118890117304</v>
      </c>
      <c r="D20" s="7">
        <v>0.95960282966857702</v>
      </c>
      <c r="E20" s="7">
        <v>0.35552810167511101</v>
      </c>
      <c r="F20" s="7">
        <v>0.32602502484872398</v>
      </c>
      <c r="G20" s="7">
        <v>0.403030718070153</v>
      </c>
      <c r="H20" s="7">
        <v>3.9588356130567601</v>
      </c>
      <c r="I20" s="7">
        <v>5.6692860389127304</v>
      </c>
      <c r="J20" s="7">
        <v>5.3558859837448902E-2</v>
      </c>
      <c r="K20" s="8">
        <v>138.56531635361699</v>
      </c>
      <c r="L20" s="9">
        <v>0.99631125910847596</v>
      </c>
      <c r="N20" s="6">
        <v>19</v>
      </c>
      <c r="O20" s="10">
        <v>0.97865893461209597</v>
      </c>
      <c r="P20" s="7">
        <v>0.97888118890117304</v>
      </c>
      <c r="Q20" s="7">
        <v>0.95960282966857702</v>
      </c>
      <c r="R20" s="7">
        <v>0.35552810167511101</v>
      </c>
      <c r="S20" s="7">
        <v>0.32602502484872398</v>
      </c>
      <c r="T20" s="7">
        <v>0.403030718070153</v>
      </c>
      <c r="U20" s="11">
        <f t="shared" si="0"/>
        <v>52.396280870629859</v>
      </c>
      <c r="V20" s="11">
        <f t="shared" si="0"/>
        <v>289.82753492379027</v>
      </c>
      <c r="W20" s="7">
        <v>5.3558859837448902E-2</v>
      </c>
      <c r="X20" s="8">
        <v>138.56531635361699</v>
      </c>
      <c r="Y20" s="9">
        <v>0.99631125910847596</v>
      </c>
    </row>
    <row r="21" spans="1:25" x14ac:dyDescent="0.3">
      <c r="A21" s="6">
        <v>20</v>
      </c>
      <c r="B21" s="7">
        <v>0.78996379984616905</v>
      </c>
      <c r="C21" s="7">
        <v>0.75800641265767599</v>
      </c>
      <c r="D21" s="7">
        <v>0.59038157160150595</v>
      </c>
      <c r="E21" s="7">
        <v>0.63747145775122405</v>
      </c>
      <c r="F21" s="7">
        <v>0.61997811067318498</v>
      </c>
      <c r="G21" s="7">
        <v>0.51355174885809496</v>
      </c>
      <c r="H21" s="7">
        <v>4.7657197010531203</v>
      </c>
      <c r="I21" s="7">
        <v>5.6692860389127304</v>
      </c>
      <c r="J21" s="7">
        <v>3.0242307628543097E-8</v>
      </c>
      <c r="K21" s="8">
        <v>178.448636055805</v>
      </c>
      <c r="L21" s="9">
        <v>0.99312212235156805</v>
      </c>
      <c r="N21" s="6">
        <v>20</v>
      </c>
      <c r="O21" s="10">
        <v>0.78996379984616905</v>
      </c>
      <c r="P21" s="7">
        <v>0.75800641265767599</v>
      </c>
      <c r="Q21" s="7">
        <v>0.59038157160150595</v>
      </c>
      <c r="R21" s="7">
        <v>0.63747145775122405</v>
      </c>
      <c r="S21" s="7">
        <v>0.61997811067318498</v>
      </c>
      <c r="T21" s="7">
        <v>0.51355174885809496</v>
      </c>
      <c r="U21" s="11">
        <f t="shared" si="0"/>
        <v>117.41559101075195</v>
      </c>
      <c r="V21" s="11">
        <f t="shared" si="0"/>
        <v>289.82753492379027</v>
      </c>
      <c r="W21" s="7">
        <v>3.0242307628543097E-8</v>
      </c>
      <c r="X21" s="8">
        <v>178.448636055805</v>
      </c>
      <c r="Y21" s="9">
        <v>0.99312212235156805</v>
      </c>
    </row>
    <row r="22" spans="1:25" x14ac:dyDescent="0.3">
      <c r="A22" s="6">
        <v>21</v>
      </c>
      <c r="B22" s="7">
        <v>0.91207944272215102</v>
      </c>
      <c r="C22" s="7">
        <v>0.78526594970851404</v>
      </c>
      <c r="D22" s="7">
        <v>0.459174342780582</v>
      </c>
      <c r="E22" s="7">
        <v>0.757566788136259</v>
      </c>
      <c r="F22" s="7">
        <v>0.48275364529345399</v>
      </c>
      <c r="G22" s="7">
        <v>0.36392313469391102</v>
      </c>
      <c r="H22" s="7">
        <v>4.1630821105232902</v>
      </c>
      <c r="I22" s="7">
        <v>5.6692860389127304</v>
      </c>
      <c r="J22" s="7">
        <v>0.143007777738864</v>
      </c>
      <c r="K22" s="8">
        <v>186.76786593162899</v>
      </c>
      <c r="L22" s="9">
        <v>0.97094137036747596</v>
      </c>
      <c r="N22" s="6">
        <v>21</v>
      </c>
      <c r="O22" s="10">
        <v>0.91207944272215102</v>
      </c>
      <c r="P22" s="7">
        <v>0.78526594970851404</v>
      </c>
      <c r="Q22" s="7">
        <v>0.459174342780582</v>
      </c>
      <c r="R22" s="7">
        <v>0.757566788136259</v>
      </c>
      <c r="S22" s="7">
        <v>0.48275364529345399</v>
      </c>
      <c r="T22" s="7">
        <v>0.36392313469391102</v>
      </c>
      <c r="U22" s="11">
        <f t="shared" si="0"/>
        <v>64.269302747556139</v>
      </c>
      <c r="V22" s="11">
        <f t="shared" si="0"/>
        <v>289.82753492379027</v>
      </c>
      <c r="W22" s="7">
        <v>0.143007777738864</v>
      </c>
      <c r="X22" s="8">
        <v>186.76786593162899</v>
      </c>
      <c r="Y22" s="9">
        <v>0.97094137036747596</v>
      </c>
    </row>
    <row r="23" spans="1:25" x14ac:dyDescent="0.3">
      <c r="A23" s="6">
        <v>22</v>
      </c>
      <c r="B23" s="7">
        <v>0.718059660183062</v>
      </c>
      <c r="C23" s="7">
        <v>0.54614298774393999</v>
      </c>
      <c r="D23" s="7">
        <v>0.50291081857820397</v>
      </c>
      <c r="E23" s="7">
        <v>0.29298430321670399</v>
      </c>
      <c r="F23" s="7">
        <v>0.30010885605610399</v>
      </c>
      <c r="G23" s="7">
        <v>0.29969847676778399</v>
      </c>
      <c r="H23" s="7">
        <v>3.9666023264331298</v>
      </c>
      <c r="I23" s="7">
        <v>5.6692860389127304</v>
      </c>
      <c r="J23" s="7">
        <v>3.7206690253992702E-7</v>
      </c>
      <c r="K23" s="8">
        <v>112.05324990722001</v>
      </c>
      <c r="L23" s="9">
        <v>0.99852120609902595</v>
      </c>
      <c r="N23" s="6">
        <v>22</v>
      </c>
      <c r="O23" s="10">
        <v>0.718059660183062</v>
      </c>
      <c r="P23" s="7">
        <v>0.54614298774393999</v>
      </c>
      <c r="Q23" s="7">
        <v>0.50291081857820397</v>
      </c>
      <c r="R23" s="7">
        <v>0.29298430321670399</v>
      </c>
      <c r="S23" s="7">
        <v>0.30010885605610399</v>
      </c>
      <c r="T23" s="7">
        <v>0.29969847676778399</v>
      </c>
      <c r="U23" s="11">
        <f t="shared" si="0"/>
        <v>52.804812185341923</v>
      </c>
      <c r="V23" s="11">
        <f t="shared" si="0"/>
        <v>289.82753492379027</v>
      </c>
      <c r="W23" s="7">
        <v>3.7206690253992702E-7</v>
      </c>
      <c r="X23" s="8">
        <v>112.05324990722001</v>
      </c>
      <c r="Y23" s="9">
        <v>0.99852120609902595</v>
      </c>
    </row>
    <row r="24" spans="1:25" x14ac:dyDescent="0.3">
      <c r="A24" s="6">
        <v>23</v>
      </c>
      <c r="B24" s="7">
        <v>0.78523459159735998</v>
      </c>
      <c r="C24" s="7">
        <v>0.77880694863087496</v>
      </c>
      <c r="D24" s="7">
        <v>0.71693559829107001</v>
      </c>
      <c r="E24" s="7">
        <v>0.648034783348863</v>
      </c>
      <c r="F24" s="7">
        <v>0.61516070596297501</v>
      </c>
      <c r="G24" s="7">
        <v>0.50067490360278299</v>
      </c>
      <c r="H24" s="7">
        <v>4.8272458439559003</v>
      </c>
      <c r="I24" s="7">
        <v>5.6692860389127304</v>
      </c>
      <c r="J24" s="7">
        <v>9.3983151443372601E-9</v>
      </c>
      <c r="K24" s="8">
        <v>178.776877003593</v>
      </c>
      <c r="L24" s="9">
        <v>0.98779411822531504</v>
      </c>
      <c r="N24" s="6">
        <v>23</v>
      </c>
      <c r="O24" s="10">
        <v>0.78523459159735998</v>
      </c>
      <c r="P24" s="7">
        <v>0.77880694863087496</v>
      </c>
      <c r="Q24" s="7">
        <v>0.71693559829107001</v>
      </c>
      <c r="R24" s="7">
        <v>0.648034783348863</v>
      </c>
      <c r="S24" s="7">
        <v>0.61516070596297501</v>
      </c>
      <c r="T24" s="7">
        <v>0.50067490360278299</v>
      </c>
      <c r="U24" s="11">
        <f t="shared" si="0"/>
        <v>124.86658458109784</v>
      </c>
      <c r="V24" s="11">
        <f t="shared" si="0"/>
        <v>289.82753492379027</v>
      </c>
      <c r="W24" s="7">
        <v>9.3983151443372601E-9</v>
      </c>
      <c r="X24" s="8">
        <v>178.776877003593</v>
      </c>
      <c r="Y24" s="9">
        <v>0.98779411822531504</v>
      </c>
    </row>
    <row r="25" spans="1:25" x14ac:dyDescent="0.3">
      <c r="A25" s="6">
        <v>24</v>
      </c>
      <c r="B25" s="7">
        <v>0.55739769533797701</v>
      </c>
      <c r="C25" s="7">
        <v>0.61323486387259396</v>
      </c>
      <c r="D25" s="7">
        <v>0.599056822123612</v>
      </c>
      <c r="E25" s="7">
        <v>0.42591288061016702</v>
      </c>
      <c r="F25" s="7">
        <v>0.58629017154348695</v>
      </c>
      <c r="G25" s="7">
        <v>0.405448267518977</v>
      </c>
      <c r="H25" s="7">
        <v>4.5616402692767197</v>
      </c>
      <c r="I25" s="7">
        <v>5.6692860389127304</v>
      </c>
      <c r="J25" s="7">
        <v>3.6824431615846302E-2</v>
      </c>
      <c r="K25" s="8">
        <v>180.09830316348601</v>
      </c>
      <c r="L25" s="9">
        <v>1</v>
      </c>
      <c r="N25" s="6">
        <v>24</v>
      </c>
      <c r="O25" s="10">
        <v>0.55739769533797701</v>
      </c>
      <c r="P25" s="7">
        <v>0.61323486387259396</v>
      </c>
      <c r="Q25" s="7">
        <v>0.599056822123612</v>
      </c>
      <c r="R25" s="7">
        <v>0.42591288061016702</v>
      </c>
      <c r="S25" s="7">
        <v>0.58629017154348695</v>
      </c>
      <c r="T25" s="7">
        <v>0.405448267518977</v>
      </c>
      <c r="U25" s="11">
        <f t="shared" si="0"/>
        <v>95.740391128603974</v>
      </c>
      <c r="V25" s="11">
        <f t="shared" si="0"/>
        <v>289.82753492379027</v>
      </c>
      <c r="W25" s="7">
        <v>3.6824431615846302E-2</v>
      </c>
      <c r="X25" s="8">
        <v>180.09830316348601</v>
      </c>
      <c r="Y25" s="9">
        <v>1</v>
      </c>
    </row>
    <row r="26" spans="1:25" x14ac:dyDescent="0.3">
      <c r="A26" s="6">
        <v>25</v>
      </c>
      <c r="B26" s="7">
        <v>0.78857421783191195</v>
      </c>
      <c r="C26" s="7">
        <v>0.76014918954007105</v>
      </c>
      <c r="D26" s="7">
        <v>0.61733148630213397</v>
      </c>
      <c r="E26" s="7">
        <v>0.50917767082378995</v>
      </c>
      <c r="F26" s="7">
        <v>0.53180768568608805</v>
      </c>
      <c r="G26" s="7">
        <v>0.50129302813154997</v>
      </c>
      <c r="H26" s="7">
        <v>4.7659454278212801</v>
      </c>
      <c r="I26" s="7">
        <v>5.6692860389127304</v>
      </c>
      <c r="J26" s="7">
        <v>4.4847050874324501E-2</v>
      </c>
      <c r="K26" s="8">
        <v>192.355337314407</v>
      </c>
      <c r="L26" s="9">
        <v>1</v>
      </c>
      <c r="N26" s="6">
        <v>25</v>
      </c>
      <c r="O26" s="10">
        <v>0.78857421783191195</v>
      </c>
      <c r="P26" s="7">
        <v>0.76014918954007105</v>
      </c>
      <c r="Q26" s="7">
        <v>0.61733148630213397</v>
      </c>
      <c r="R26" s="7">
        <v>0.50917767082378995</v>
      </c>
      <c r="S26" s="7">
        <v>0.53180768568608805</v>
      </c>
      <c r="T26" s="7">
        <v>0.50129302813154997</v>
      </c>
      <c r="U26" s="11">
        <f t="shared" si="0"/>
        <v>117.44209784418075</v>
      </c>
      <c r="V26" s="11">
        <f t="shared" si="0"/>
        <v>289.82753492379027</v>
      </c>
      <c r="W26" s="7">
        <v>4.4847050874324501E-2</v>
      </c>
      <c r="X26" s="8">
        <v>192.355337314407</v>
      </c>
      <c r="Y26" s="9">
        <v>1</v>
      </c>
    </row>
    <row r="27" spans="1:25" x14ac:dyDescent="0.3">
      <c r="A27" s="6">
        <v>26</v>
      </c>
      <c r="B27" s="7">
        <v>0.45629429624215201</v>
      </c>
      <c r="C27" s="7">
        <v>0.64449982711653298</v>
      </c>
      <c r="D27" s="7">
        <v>0.51235547771186696</v>
      </c>
      <c r="E27" s="7">
        <v>0.61535322693603101</v>
      </c>
      <c r="F27" s="7">
        <v>0.64438651566013105</v>
      </c>
      <c r="G27" s="7">
        <v>0.441987860245388</v>
      </c>
      <c r="H27" s="7">
        <v>4.2156076114943097</v>
      </c>
      <c r="I27" s="7">
        <v>5.6692860389127304</v>
      </c>
      <c r="J27" s="7">
        <v>1.5298280853435799E-10</v>
      </c>
      <c r="K27" s="8">
        <v>142.70577584515499</v>
      </c>
      <c r="L27" s="9">
        <v>1</v>
      </c>
      <c r="N27" s="6">
        <v>26</v>
      </c>
      <c r="O27" s="10">
        <v>0.45629429624215201</v>
      </c>
      <c r="P27" s="7">
        <v>0.64449982711653298</v>
      </c>
      <c r="Q27" s="7">
        <v>0.51235547771186696</v>
      </c>
      <c r="R27" s="7">
        <v>0.61535322693603101</v>
      </c>
      <c r="S27" s="7">
        <v>0.64438651566013105</v>
      </c>
      <c r="T27" s="7">
        <v>0.441987860245388</v>
      </c>
      <c r="U27" s="11">
        <f t="shared" si="0"/>
        <v>67.735310122807093</v>
      </c>
      <c r="V27" s="11">
        <f t="shared" si="0"/>
        <v>289.82753492379027</v>
      </c>
      <c r="W27" s="7">
        <v>1.5298280853435799E-10</v>
      </c>
      <c r="X27" s="8">
        <v>142.70577584515499</v>
      </c>
      <c r="Y27" s="9">
        <v>1</v>
      </c>
    </row>
    <row r="28" spans="1:25" x14ac:dyDescent="0.3">
      <c r="A28" s="6">
        <v>27</v>
      </c>
      <c r="B28" s="7">
        <v>0.911486464960512</v>
      </c>
      <c r="C28" s="7">
        <v>0.93685906314165102</v>
      </c>
      <c r="D28" s="7">
        <v>0.86369739663487</v>
      </c>
      <c r="E28" s="7">
        <v>0.69319238373348102</v>
      </c>
      <c r="F28" s="7">
        <v>0.42570620616937699</v>
      </c>
      <c r="G28" s="7">
        <v>0.40599529655371502</v>
      </c>
      <c r="H28" s="7">
        <v>4.8424136843903502</v>
      </c>
      <c r="I28" s="7">
        <v>5.6692860389127304</v>
      </c>
      <c r="J28" s="7">
        <v>2.6134833419395199E-2</v>
      </c>
      <c r="K28" s="8">
        <v>177.76007237157401</v>
      </c>
      <c r="L28" s="9">
        <v>0.99179784243501701</v>
      </c>
      <c r="N28" s="6">
        <v>27</v>
      </c>
      <c r="O28" s="10">
        <v>0.911486464960512</v>
      </c>
      <c r="P28" s="7">
        <v>0.93685906314165102</v>
      </c>
      <c r="Q28" s="7">
        <v>0.86369739663487</v>
      </c>
      <c r="R28" s="7">
        <v>0.69319238373348102</v>
      </c>
      <c r="S28" s="7">
        <v>0.42570620616937699</v>
      </c>
      <c r="T28" s="7">
        <v>0.40599529655371502</v>
      </c>
      <c r="U28" s="11">
        <f t="shared" si="0"/>
        <v>126.77497752396938</v>
      </c>
      <c r="V28" s="11">
        <f t="shared" si="0"/>
        <v>289.82753492379027</v>
      </c>
      <c r="W28" s="7">
        <v>2.6134833419395199E-2</v>
      </c>
      <c r="X28" s="8">
        <v>177.76007237157401</v>
      </c>
      <c r="Y28" s="9">
        <v>0.99179784243501701</v>
      </c>
    </row>
    <row r="29" spans="1:25" x14ac:dyDescent="0.3">
      <c r="A29" s="6">
        <v>28</v>
      </c>
      <c r="B29" s="7">
        <v>0.85857872106972799</v>
      </c>
      <c r="C29" s="7">
        <v>0.81178705493570202</v>
      </c>
      <c r="D29" s="7">
        <v>0.66940114055709099</v>
      </c>
      <c r="E29" s="7">
        <v>0.61479185766277999</v>
      </c>
      <c r="F29" s="7">
        <v>0.64664579837722203</v>
      </c>
      <c r="G29" s="7">
        <v>0.53470024799084503</v>
      </c>
      <c r="H29" s="7">
        <v>4.67611100506545</v>
      </c>
      <c r="I29" s="7">
        <v>5.6692860389127304</v>
      </c>
      <c r="J29" s="7">
        <v>2.1143974468542399E-12</v>
      </c>
      <c r="K29" s="8">
        <v>160.151208048987</v>
      </c>
      <c r="L29" s="9">
        <v>0.995135380309634</v>
      </c>
      <c r="N29" s="6">
        <v>28</v>
      </c>
      <c r="O29" s="10">
        <v>0.85857872106972799</v>
      </c>
      <c r="P29" s="7">
        <v>0.81178705493570202</v>
      </c>
      <c r="Q29" s="7">
        <v>0.66940114055709099</v>
      </c>
      <c r="R29" s="7">
        <v>0.61479185766277999</v>
      </c>
      <c r="S29" s="7">
        <v>0.64664579837722203</v>
      </c>
      <c r="T29" s="7">
        <v>0.53470024799084503</v>
      </c>
      <c r="U29" s="11">
        <f t="shared" si="0"/>
        <v>107.35176922208885</v>
      </c>
      <c r="V29" s="11">
        <f t="shared" si="0"/>
        <v>289.82753492379027</v>
      </c>
      <c r="W29" s="7">
        <v>2.1143974468542399E-12</v>
      </c>
      <c r="X29" s="8">
        <v>160.151208048987</v>
      </c>
      <c r="Y29" s="9">
        <v>0.995135380309634</v>
      </c>
    </row>
    <row r="30" spans="1:25" x14ac:dyDescent="0.3">
      <c r="A30" s="6">
        <v>29</v>
      </c>
      <c r="B30" s="7">
        <v>0.52987498603692995</v>
      </c>
      <c r="C30" s="7">
        <v>0.44523118334693901</v>
      </c>
      <c r="D30" s="7">
        <v>0.29397768782596401</v>
      </c>
      <c r="E30" s="7">
        <v>0.62458192467017903</v>
      </c>
      <c r="F30" s="7">
        <v>0.33794844653398598</v>
      </c>
      <c r="G30" s="7">
        <v>0.40337323180044998</v>
      </c>
      <c r="H30" s="7">
        <v>4.0609596432077497</v>
      </c>
      <c r="I30" s="7">
        <v>5.6692860389127304</v>
      </c>
      <c r="J30" s="7">
        <v>1.4016410472245801E-8</v>
      </c>
      <c r="K30" s="8">
        <v>124.19948574283301</v>
      </c>
      <c r="L30" s="9">
        <v>0.99589629263049995</v>
      </c>
      <c r="N30" s="6">
        <v>29</v>
      </c>
      <c r="O30" s="10">
        <v>0.52987498603692995</v>
      </c>
      <c r="P30" s="7">
        <v>0.44523118334693901</v>
      </c>
      <c r="Q30" s="7">
        <v>0.29397768782596401</v>
      </c>
      <c r="R30" s="7">
        <v>0.62458192467017903</v>
      </c>
      <c r="S30" s="7">
        <v>0.33794844653398598</v>
      </c>
      <c r="T30" s="7">
        <v>0.40337323180044998</v>
      </c>
      <c r="U30" s="11">
        <f t="shared" si="0"/>
        <v>58.029972436060206</v>
      </c>
      <c r="V30" s="11">
        <f t="shared" si="0"/>
        <v>289.82753492379027</v>
      </c>
      <c r="W30" s="7">
        <v>1.4016410472245801E-8</v>
      </c>
      <c r="X30" s="8">
        <v>124.19948574283301</v>
      </c>
      <c r="Y30" s="9">
        <v>0.99589629263049995</v>
      </c>
    </row>
    <row r="31" spans="1:25" x14ac:dyDescent="0.3">
      <c r="A31" s="6">
        <v>30</v>
      </c>
      <c r="B31" s="12">
        <v>0.59712861073823797</v>
      </c>
      <c r="C31" s="12">
        <v>0.59713619880990898</v>
      </c>
      <c r="D31" s="12">
        <v>0.70230083038314295</v>
      </c>
      <c r="E31" s="12">
        <v>0.53385074892565898</v>
      </c>
      <c r="F31" s="12">
        <v>0.46337716215548702</v>
      </c>
      <c r="G31" s="12">
        <v>0.53947459085750005</v>
      </c>
      <c r="H31" s="12">
        <v>4.9394197216540299</v>
      </c>
      <c r="I31" s="12">
        <v>5.6692860389127304</v>
      </c>
      <c r="J31" s="12">
        <v>2.2501709330552799E-6</v>
      </c>
      <c r="K31" s="13">
        <v>201.38660831289999</v>
      </c>
      <c r="L31" s="14">
        <v>0.97857626302488698</v>
      </c>
      <c r="N31" s="6">
        <v>30</v>
      </c>
      <c r="O31" s="15">
        <v>0.59712861073823797</v>
      </c>
      <c r="P31" s="12">
        <v>0.59713619880990898</v>
      </c>
      <c r="Q31" s="12">
        <v>0.70230083038314295</v>
      </c>
      <c r="R31" s="12">
        <v>0.53385074892565898</v>
      </c>
      <c r="S31" s="12">
        <v>0.46337716215548702</v>
      </c>
      <c r="T31" s="12">
        <v>0.53947459085750005</v>
      </c>
      <c r="U31" s="16">
        <f t="shared" si="0"/>
        <v>139.68916743814739</v>
      </c>
      <c r="V31" s="16">
        <f t="shared" si="0"/>
        <v>289.82753492379027</v>
      </c>
      <c r="W31" s="12">
        <v>2.2501709330552799E-6</v>
      </c>
      <c r="X31" s="13">
        <v>201.38660831289999</v>
      </c>
      <c r="Y31" s="14">
        <v>0.97857626302488698</v>
      </c>
    </row>
    <row r="32" spans="1:25" x14ac:dyDescent="0.3">
      <c r="A32" s="17" t="s">
        <v>13</v>
      </c>
      <c r="B32" s="18">
        <f>AVERAGE(B2:B31)</f>
        <v>0.78712349316478813</v>
      </c>
      <c r="C32" s="18">
        <f t="shared" ref="C32:L32" si="1">AVERAGE(C2:C31)</f>
        <v>0.75560463220508456</v>
      </c>
      <c r="D32" s="18">
        <f t="shared" si="1"/>
        <v>0.68359160044904077</v>
      </c>
      <c r="E32" s="18">
        <f t="shared" si="1"/>
        <v>0.61425344284796501</v>
      </c>
      <c r="F32" s="18">
        <f t="shared" si="1"/>
        <v>0.5377409643522989</v>
      </c>
      <c r="G32" s="18">
        <f t="shared" si="1"/>
        <v>0.46310428332944931</v>
      </c>
      <c r="H32" s="18">
        <f t="shared" si="1"/>
        <v>4.4200340772738489</v>
      </c>
      <c r="I32" s="18">
        <f t="shared" si="1"/>
        <v>5.6692860389127304</v>
      </c>
      <c r="J32" s="18">
        <f t="shared" si="1"/>
        <v>6.4716286917837859E-2</v>
      </c>
      <c r="K32" s="18">
        <f t="shared" si="1"/>
        <v>171.42966636902605</v>
      </c>
      <c r="L32" s="18">
        <f t="shared" si="1"/>
        <v>0.98956779274439388</v>
      </c>
      <c r="N32" s="17" t="s">
        <v>13</v>
      </c>
      <c r="O32" s="18">
        <f>AVERAGE(O2:O31)</f>
        <v>0.78712349316478813</v>
      </c>
      <c r="P32" s="18">
        <f t="shared" ref="P32:Y32" si="2">AVERAGE(P2:P31)</f>
        <v>0.75560463220508456</v>
      </c>
      <c r="Q32" s="18">
        <f t="shared" si="2"/>
        <v>0.68359160044904077</v>
      </c>
      <c r="R32" s="18">
        <f t="shared" si="2"/>
        <v>0.61425344284796501</v>
      </c>
      <c r="S32" s="18">
        <f t="shared" si="2"/>
        <v>0.5377409643522989</v>
      </c>
      <c r="T32" s="18">
        <f t="shared" si="2"/>
        <v>0.46310428332944931</v>
      </c>
      <c r="U32" s="19">
        <f t="shared" si="2"/>
        <v>87.553442541014178</v>
      </c>
      <c r="V32" s="19">
        <f t="shared" si="2"/>
        <v>289.82753492379021</v>
      </c>
      <c r="W32" s="18">
        <f t="shared" si="2"/>
        <v>6.4716286917837859E-2</v>
      </c>
      <c r="X32" s="18">
        <f t="shared" si="2"/>
        <v>171.42966636902605</v>
      </c>
      <c r="Y32" s="18">
        <f t="shared" si="2"/>
        <v>0.98956779274439388</v>
      </c>
    </row>
    <row r="33" spans="1:25" x14ac:dyDescent="0.3">
      <c r="A33" s="17" t="s">
        <v>14</v>
      </c>
      <c r="B33" s="20">
        <f>STDEV(B2:B31)</f>
        <v>0.18204253978804422</v>
      </c>
      <c r="C33" s="20">
        <f t="shared" ref="C33:L33" si="3">STDEV(C2:C31)</f>
        <v>0.15962219372793598</v>
      </c>
      <c r="D33" s="20">
        <f t="shared" si="3"/>
        <v>0.1834476268350371</v>
      </c>
      <c r="E33" s="20">
        <f t="shared" si="3"/>
        <v>0.16721755203930166</v>
      </c>
      <c r="F33" s="20">
        <f t="shared" si="3"/>
        <v>0.14365013147199543</v>
      </c>
      <c r="G33" s="20">
        <f t="shared" si="3"/>
        <v>9.3785771266826842E-2</v>
      </c>
      <c r="H33" s="20">
        <f t="shared" si="3"/>
        <v>0.32997031454472853</v>
      </c>
      <c r="I33" s="20">
        <f t="shared" si="3"/>
        <v>0</v>
      </c>
      <c r="J33" s="20">
        <f t="shared" si="3"/>
        <v>8.3640556506029584E-2</v>
      </c>
      <c r="K33" s="20">
        <f t="shared" si="3"/>
        <v>31.186339411982576</v>
      </c>
      <c r="L33" s="20">
        <f t="shared" si="3"/>
        <v>9.3984842214589713E-3</v>
      </c>
      <c r="N33" s="17" t="s">
        <v>14</v>
      </c>
      <c r="O33" s="20">
        <f>STDEV(O2:O31)</f>
        <v>0.18204253978804422</v>
      </c>
      <c r="P33" s="20">
        <f t="shared" ref="P33:Y33" si="4">STDEV(P2:P31)</f>
        <v>0.15962219372793598</v>
      </c>
      <c r="Q33" s="20">
        <f t="shared" si="4"/>
        <v>0.1834476268350371</v>
      </c>
      <c r="R33" s="20">
        <f t="shared" si="4"/>
        <v>0.16721755203930166</v>
      </c>
      <c r="S33" s="20">
        <f t="shared" si="4"/>
        <v>0.14365013147199543</v>
      </c>
      <c r="T33" s="20">
        <f t="shared" si="4"/>
        <v>9.3785771266826842E-2</v>
      </c>
      <c r="U33" s="19">
        <f t="shared" si="4"/>
        <v>28.582056781473373</v>
      </c>
      <c r="V33" s="19">
        <f t="shared" si="4"/>
        <v>5.7815171625817106E-14</v>
      </c>
      <c r="W33" s="20">
        <f t="shared" si="4"/>
        <v>8.3640556506029584E-2</v>
      </c>
      <c r="X33" s="20">
        <f t="shared" si="4"/>
        <v>31.186339411982576</v>
      </c>
      <c r="Y33" s="20">
        <f t="shared" si="4"/>
        <v>9.3984842214589713E-3</v>
      </c>
    </row>
    <row r="35" spans="1:25" x14ac:dyDescent="0.3">
      <c r="A35" s="1" t="s">
        <v>0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7</v>
      </c>
      <c r="H35" s="2" t="s">
        <v>8</v>
      </c>
      <c r="I35" s="3" t="s">
        <v>9</v>
      </c>
      <c r="J35" s="4" t="s">
        <v>10</v>
      </c>
      <c r="N35" s="1" t="s">
        <v>0</v>
      </c>
      <c r="O35" s="2" t="s">
        <v>15</v>
      </c>
      <c r="P35" s="2" t="s">
        <v>16</v>
      </c>
      <c r="Q35" s="2" t="s">
        <v>20</v>
      </c>
      <c r="R35" s="2" t="s">
        <v>21</v>
      </c>
      <c r="S35" s="2" t="s">
        <v>22</v>
      </c>
      <c r="T35" s="2" t="s">
        <v>12</v>
      </c>
      <c r="U35" s="2" t="s">
        <v>8</v>
      </c>
      <c r="V35" s="3" t="s">
        <v>9</v>
      </c>
      <c r="W35" s="4" t="s">
        <v>10</v>
      </c>
    </row>
    <row r="36" spans="1:25" x14ac:dyDescent="0.3">
      <c r="A36" s="6">
        <v>1</v>
      </c>
      <c r="B36" s="7">
        <v>0.758723452908453</v>
      </c>
      <c r="C36" s="7">
        <v>0.57757673707965296</v>
      </c>
      <c r="D36" s="7">
        <v>5.2317508603446203</v>
      </c>
      <c r="E36" s="7">
        <v>4.67407384798571</v>
      </c>
      <c r="F36" s="7">
        <v>4.2941683578828798</v>
      </c>
      <c r="G36" s="7">
        <v>5.6692860389127304</v>
      </c>
      <c r="H36" s="7">
        <v>0.15614330165745899</v>
      </c>
      <c r="I36" s="21">
        <v>209.86896018415999</v>
      </c>
      <c r="J36" s="9">
        <v>0.98346792563800201</v>
      </c>
      <c r="N36" s="6">
        <v>1</v>
      </c>
      <c r="O36" s="22">
        <v>0.758723452908453</v>
      </c>
      <c r="P36" s="22">
        <v>0.57757673707965296</v>
      </c>
      <c r="Q36" s="23">
        <f>EXP(D36)</f>
        <v>187.12013810746549</v>
      </c>
      <c r="R36" s="23">
        <f t="shared" ref="R36:T51" si="5">EXP(E36)</f>
        <v>107.13329940961236</v>
      </c>
      <c r="S36" s="23">
        <f t="shared" si="5"/>
        <v>73.271253639250176</v>
      </c>
      <c r="T36" s="23">
        <f t="shared" si="5"/>
        <v>289.82753492379027</v>
      </c>
      <c r="U36" s="22">
        <v>0.15614330165745899</v>
      </c>
      <c r="V36" s="24">
        <v>209.86896018415999</v>
      </c>
      <c r="W36" s="9">
        <v>0.98346792563800201</v>
      </c>
    </row>
    <row r="37" spans="1:25" x14ac:dyDescent="0.3">
      <c r="A37" s="6">
        <v>2</v>
      </c>
      <c r="B37" s="7">
        <v>0.96755388660351405</v>
      </c>
      <c r="C37" s="7">
        <v>0.81322708033969804</v>
      </c>
      <c r="D37" s="7">
        <v>4.5080537174720803</v>
      </c>
      <c r="E37" s="7">
        <v>4.35853939083683</v>
      </c>
      <c r="F37" s="7">
        <v>4.0445219933841896</v>
      </c>
      <c r="G37" s="7">
        <v>5.6692860389127304</v>
      </c>
      <c r="H37" s="7">
        <v>5.5442359987387703E-2</v>
      </c>
      <c r="I37" s="21">
        <v>145.817586314621</v>
      </c>
      <c r="J37" s="9">
        <v>0.99723563195593801</v>
      </c>
      <c r="N37" s="6">
        <v>2</v>
      </c>
      <c r="O37" s="7">
        <v>0.96755388660351405</v>
      </c>
      <c r="P37" s="7">
        <v>0.81322708033969804</v>
      </c>
      <c r="Q37" s="11">
        <f t="shared" ref="Q37:T65" si="6">EXP(D37)</f>
        <v>90.745031058726255</v>
      </c>
      <c r="R37" s="11">
        <f t="shared" si="5"/>
        <v>78.142914770903914</v>
      </c>
      <c r="S37" s="11">
        <f t="shared" si="5"/>
        <v>57.083893033021049</v>
      </c>
      <c r="T37" s="11">
        <f t="shared" si="5"/>
        <v>289.82753492379027</v>
      </c>
      <c r="U37" s="7">
        <v>5.5442359987387703E-2</v>
      </c>
      <c r="V37" s="21">
        <v>145.817586314621</v>
      </c>
      <c r="W37" s="9">
        <v>0.99723563195593801</v>
      </c>
    </row>
    <row r="38" spans="1:25" x14ac:dyDescent="0.3">
      <c r="A38" s="6">
        <v>3</v>
      </c>
      <c r="B38" s="7">
        <v>0.70690829201557803</v>
      </c>
      <c r="C38" s="7">
        <v>0.41460374464586502</v>
      </c>
      <c r="D38" s="7">
        <v>4.7630152067577001</v>
      </c>
      <c r="E38" s="7">
        <v>4.8269414314308996</v>
      </c>
      <c r="F38" s="7">
        <v>4.8141114834907102</v>
      </c>
      <c r="G38" s="7">
        <v>5.6692860389127304</v>
      </c>
      <c r="H38" s="7">
        <v>5.0519352059995698E-7</v>
      </c>
      <c r="I38" s="21">
        <v>189.80133206374899</v>
      </c>
      <c r="J38" s="9">
        <v>0.98055008921279696</v>
      </c>
      <c r="N38" s="6">
        <v>3</v>
      </c>
      <c r="O38" s="7">
        <v>0.70690829201557803</v>
      </c>
      <c r="P38" s="7">
        <v>0.41460374464586502</v>
      </c>
      <c r="Q38" s="11">
        <f t="shared" si="6"/>
        <v>117.09847023362906</v>
      </c>
      <c r="R38" s="11">
        <f t="shared" si="5"/>
        <v>124.82857941371526</v>
      </c>
      <c r="S38" s="11">
        <f t="shared" si="5"/>
        <v>123.2372653054407</v>
      </c>
      <c r="T38" s="11">
        <f t="shared" si="5"/>
        <v>289.82753492379027</v>
      </c>
      <c r="U38" s="7">
        <v>5.0519352059995698E-7</v>
      </c>
      <c r="V38" s="21">
        <v>189.80133206374899</v>
      </c>
      <c r="W38" s="9">
        <v>0.98055008921279696</v>
      </c>
    </row>
    <row r="39" spans="1:25" x14ac:dyDescent="0.3">
      <c r="A39" s="6">
        <v>4</v>
      </c>
      <c r="B39" s="7">
        <v>0.616697685464203</v>
      </c>
      <c r="C39" s="7">
        <v>0.44078731885535899</v>
      </c>
      <c r="D39" s="7">
        <v>4.56774372301214</v>
      </c>
      <c r="E39" s="7">
        <v>4.2422196179062404</v>
      </c>
      <c r="F39" s="7">
        <v>4.3500035006663902</v>
      </c>
      <c r="G39" s="7">
        <v>5.6692860389127304</v>
      </c>
      <c r="H39" s="7">
        <v>0.22664726750624301</v>
      </c>
      <c r="I39" s="21">
        <v>221.42361380431299</v>
      </c>
      <c r="J39" s="9">
        <v>0.99172005122882301</v>
      </c>
      <c r="N39" s="6">
        <v>4</v>
      </c>
      <c r="O39" s="7">
        <v>0.616697685464203</v>
      </c>
      <c r="P39" s="7">
        <v>0.44078731885535899</v>
      </c>
      <c r="Q39" s="11">
        <f t="shared" si="6"/>
        <v>96.326525077627537</v>
      </c>
      <c r="R39" s="11">
        <f t="shared" si="5"/>
        <v>69.562081852059308</v>
      </c>
      <c r="S39" s="11">
        <f t="shared" si="5"/>
        <v>77.478734151986728</v>
      </c>
      <c r="T39" s="11">
        <f t="shared" si="5"/>
        <v>289.82753492379027</v>
      </c>
      <c r="U39" s="7">
        <v>0.22664726750624301</v>
      </c>
      <c r="V39" s="21">
        <v>221.42361380431299</v>
      </c>
      <c r="W39" s="9">
        <v>0.99172005122882301</v>
      </c>
    </row>
    <row r="40" spans="1:25" x14ac:dyDescent="0.3">
      <c r="A40" s="6">
        <v>5</v>
      </c>
      <c r="B40" s="7">
        <v>0.38267268543518201</v>
      </c>
      <c r="C40" s="7">
        <v>0.37817133777654099</v>
      </c>
      <c r="D40" s="7">
        <v>4.3275535576672199</v>
      </c>
      <c r="E40" s="7">
        <v>4.2080056616611596</v>
      </c>
      <c r="F40" s="7">
        <v>3.8315223973261299</v>
      </c>
      <c r="G40" s="7">
        <v>5.6692860389127304</v>
      </c>
      <c r="H40" s="7">
        <v>1.43744474366504E-10</v>
      </c>
      <c r="I40" s="21">
        <v>129.26241528596799</v>
      </c>
      <c r="J40" s="9">
        <v>0.998808474863906</v>
      </c>
      <c r="N40" s="6">
        <v>5</v>
      </c>
      <c r="O40" s="7">
        <v>0.38267268543518201</v>
      </c>
      <c r="P40" s="7">
        <v>0.37817133777654099</v>
      </c>
      <c r="Q40" s="11">
        <f t="shared" si="6"/>
        <v>75.75872033269232</v>
      </c>
      <c r="R40" s="11">
        <f t="shared" si="5"/>
        <v>67.222341942857184</v>
      </c>
      <c r="S40" s="11">
        <f t="shared" si="5"/>
        <v>46.132717125780999</v>
      </c>
      <c r="T40" s="11">
        <f t="shared" si="5"/>
        <v>289.82753492379027</v>
      </c>
      <c r="U40" s="7">
        <v>1.43744474366504E-10</v>
      </c>
      <c r="V40" s="21">
        <v>129.26241528596799</v>
      </c>
      <c r="W40" s="9">
        <v>0.998808474863906</v>
      </c>
    </row>
    <row r="41" spans="1:25" x14ac:dyDescent="0.3">
      <c r="A41" s="6">
        <v>6</v>
      </c>
      <c r="B41" s="7">
        <v>0.99999978850481197</v>
      </c>
      <c r="C41" s="7">
        <v>0.74402797473305504</v>
      </c>
      <c r="D41" s="7">
        <v>4.1072890528701302</v>
      </c>
      <c r="E41" s="7">
        <v>3.5497283783036102</v>
      </c>
      <c r="F41" s="7">
        <v>3.5680378678877802</v>
      </c>
      <c r="G41" s="7">
        <v>5.6692860389127304</v>
      </c>
      <c r="H41" s="7">
        <v>0.27944183406879203</v>
      </c>
      <c r="I41" s="21">
        <v>204.59824357010501</v>
      </c>
      <c r="J41" s="9">
        <v>0.97703384248556802</v>
      </c>
      <c r="N41" s="6">
        <v>6</v>
      </c>
      <c r="O41" s="7">
        <v>0.99999978850481197</v>
      </c>
      <c r="P41" s="7">
        <v>0.74402797473305504</v>
      </c>
      <c r="Q41" s="11">
        <f t="shared" si="6"/>
        <v>60.781717994166314</v>
      </c>
      <c r="R41" s="11">
        <f t="shared" si="5"/>
        <v>34.803862719367309</v>
      </c>
      <c r="S41" s="11">
        <f t="shared" si="5"/>
        <v>35.44697322776932</v>
      </c>
      <c r="T41" s="11">
        <f t="shared" si="5"/>
        <v>289.82753492379027</v>
      </c>
      <c r="U41" s="7">
        <v>0.27944183406879203</v>
      </c>
      <c r="V41" s="21">
        <v>204.59824357010501</v>
      </c>
      <c r="W41" s="9">
        <v>0.97703384248556802</v>
      </c>
    </row>
    <row r="42" spans="1:25" x14ac:dyDescent="0.3">
      <c r="A42" s="6">
        <v>7</v>
      </c>
      <c r="B42" s="7">
        <v>0.85756029919921295</v>
      </c>
      <c r="C42" s="7">
        <v>0.80470302831436102</v>
      </c>
      <c r="D42" s="7">
        <v>4.36269480064857</v>
      </c>
      <c r="E42" s="7">
        <v>4.1265878476906401</v>
      </c>
      <c r="F42" s="7">
        <v>4.06441777096643</v>
      </c>
      <c r="G42" s="7">
        <v>5.6692860389127304</v>
      </c>
      <c r="H42" s="7">
        <v>1.6632514061805099E-15</v>
      </c>
      <c r="I42" s="21">
        <v>129.22432302882399</v>
      </c>
      <c r="J42" s="9">
        <v>0.99911776428198695</v>
      </c>
      <c r="N42" s="6">
        <v>7</v>
      </c>
      <c r="O42" s="7">
        <v>0.85756029919921295</v>
      </c>
      <c r="P42" s="7">
        <v>0.80470302831436102</v>
      </c>
      <c r="Q42" s="11">
        <f t="shared" si="6"/>
        <v>78.468306204816756</v>
      </c>
      <c r="R42" s="11">
        <f t="shared" si="5"/>
        <v>61.966123942132775</v>
      </c>
      <c r="S42" s="11">
        <f t="shared" si="5"/>
        <v>58.230994874885035</v>
      </c>
      <c r="T42" s="11">
        <f t="shared" si="5"/>
        <v>289.82753492379027</v>
      </c>
      <c r="U42" s="7">
        <v>1.6632514061805099E-15</v>
      </c>
      <c r="V42" s="21">
        <v>129.22432302882399</v>
      </c>
      <c r="W42" s="9">
        <v>0.99911776428198695</v>
      </c>
    </row>
    <row r="43" spans="1:25" x14ac:dyDescent="0.3">
      <c r="A43" s="6">
        <v>8</v>
      </c>
      <c r="B43" s="7">
        <v>0.57287754348981801</v>
      </c>
      <c r="C43" s="7">
        <v>0.55454819561378799</v>
      </c>
      <c r="D43" s="7">
        <v>4.6203718234378197</v>
      </c>
      <c r="E43" s="7">
        <v>4.4797988035181699</v>
      </c>
      <c r="F43" s="7">
        <v>4.2282683370619401</v>
      </c>
      <c r="G43" s="7">
        <v>5.6692860389127304</v>
      </c>
      <c r="H43" s="7">
        <v>8.6067248107090906E-14</v>
      </c>
      <c r="I43" s="21">
        <v>159.99803347433499</v>
      </c>
      <c r="J43" s="9">
        <v>0.99633603864608999</v>
      </c>
      <c r="N43" s="6">
        <v>8</v>
      </c>
      <c r="O43" s="7">
        <v>0.57287754348981801</v>
      </c>
      <c r="P43" s="7">
        <v>0.55454819561378799</v>
      </c>
      <c r="Q43" s="11">
        <f t="shared" si="6"/>
        <v>101.53177700627026</v>
      </c>
      <c r="R43" s="11">
        <f t="shared" si="5"/>
        <v>88.216921955684796</v>
      </c>
      <c r="S43" s="11">
        <f t="shared" si="5"/>
        <v>68.598340059928319</v>
      </c>
      <c r="T43" s="11">
        <f t="shared" si="5"/>
        <v>289.82753492379027</v>
      </c>
      <c r="U43" s="7">
        <v>8.6067248107090906E-14</v>
      </c>
      <c r="V43" s="21">
        <v>159.99803347433499</v>
      </c>
      <c r="W43" s="9">
        <v>0.99633603864608999</v>
      </c>
    </row>
    <row r="44" spans="1:25" x14ac:dyDescent="0.3">
      <c r="A44" s="6">
        <v>9</v>
      </c>
      <c r="B44" s="7">
        <v>0.62515133297238201</v>
      </c>
      <c r="C44" s="7">
        <v>0.54856275740439697</v>
      </c>
      <c r="D44" s="7">
        <v>4.9170338955245798</v>
      </c>
      <c r="E44" s="7">
        <v>4.72413312402659</v>
      </c>
      <c r="F44" s="7">
        <v>4.7411265224300196</v>
      </c>
      <c r="G44" s="7">
        <v>5.6692860389127304</v>
      </c>
      <c r="H44" s="7">
        <v>7.6773328856556897E-2</v>
      </c>
      <c r="I44" s="21">
        <v>202.97094078546701</v>
      </c>
      <c r="J44" s="9">
        <v>0.97441685346663398</v>
      </c>
      <c r="N44" s="6">
        <v>9</v>
      </c>
      <c r="O44" s="7">
        <v>0.62515133297238201</v>
      </c>
      <c r="P44" s="7">
        <v>0.54856275740439697</v>
      </c>
      <c r="Q44" s="11">
        <f t="shared" si="6"/>
        <v>136.59685118607854</v>
      </c>
      <c r="R44" s="11">
        <f t="shared" si="5"/>
        <v>112.63281735833802</v>
      </c>
      <c r="S44" s="11">
        <f t="shared" si="5"/>
        <v>114.56318701390781</v>
      </c>
      <c r="T44" s="11">
        <f t="shared" si="5"/>
        <v>289.82753492379027</v>
      </c>
      <c r="U44" s="7">
        <v>7.6773328856556897E-2</v>
      </c>
      <c r="V44" s="21">
        <v>202.97094078546701</v>
      </c>
      <c r="W44" s="9">
        <v>0.97441685346663398</v>
      </c>
    </row>
    <row r="45" spans="1:25" x14ac:dyDescent="0.3">
      <c r="A45" s="6">
        <v>10</v>
      </c>
      <c r="B45" s="7">
        <v>0.65850462829366696</v>
      </c>
      <c r="C45" s="7">
        <v>0.49350477027037398</v>
      </c>
      <c r="D45" s="7">
        <v>4.8047636095429898</v>
      </c>
      <c r="E45" s="7">
        <v>4.3289453928352897</v>
      </c>
      <c r="F45" s="7">
        <v>4.2022210853692696</v>
      </c>
      <c r="G45" s="7">
        <v>5.6692860389127304</v>
      </c>
      <c r="H45" s="7">
        <v>4.5901336959531601E-2</v>
      </c>
      <c r="I45" s="21">
        <v>178.50391365945299</v>
      </c>
      <c r="J45" s="9">
        <v>0.98415996644479797</v>
      </c>
      <c r="N45" s="6">
        <v>10</v>
      </c>
      <c r="O45" s="7">
        <v>0.65850462829366696</v>
      </c>
      <c r="P45" s="7">
        <v>0.49350477027037398</v>
      </c>
      <c r="Q45" s="11">
        <f t="shared" si="6"/>
        <v>122.09062655066681</v>
      </c>
      <c r="R45" s="11">
        <f t="shared" si="5"/>
        <v>75.86423739808653</v>
      </c>
      <c r="S45" s="11">
        <f t="shared" si="5"/>
        <v>66.834611686157828</v>
      </c>
      <c r="T45" s="11">
        <f t="shared" si="5"/>
        <v>289.82753492379027</v>
      </c>
      <c r="U45" s="7">
        <v>4.5901336959531601E-2</v>
      </c>
      <c r="V45" s="21">
        <v>178.50391365945299</v>
      </c>
      <c r="W45" s="9">
        <v>0.98415996644479797</v>
      </c>
    </row>
    <row r="46" spans="1:25" x14ac:dyDescent="0.3">
      <c r="A46" s="6">
        <v>11</v>
      </c>
      <c r="B46" s="7">
        <v>0.83087891955099202</v>
      </c>
      <c r="C46" s="7">
        <v>0.59477114199843295</v>
      </c>
      <c r="D46" s="7">
        <v>4.6578044163378003</v>
      </c>
      <c r="E46" s="7">
        <v>4.5827712210745002</v>
      </c>
      <c r="F46" s="7">
        <v>4.6754152535897298</v>
      </c>
      <c r="G46" s="7">
        <v>5.6692860389127304</v>
      </c>
      <c r="H46" s="7">
        <v>0.103316408589762</v>
      </c>
      <c r="I46" s="21">
        <v>189.09164144664999</v>
      </c>
      <c r="J46" s="9">
        <v>0.98753274900006305</v>
      </c>
      <c r="N46" s="6">
        <v>11</v>
      </c>
      <c r="O46" s="7">
        <v>0.83087891955099202</v>
      </c>
      <c r="P46" s="7">
        <v>0.59477114199843295</v>
      </c>
      <c r="Q46" s="11">
        <f t="shared" si="6"/>
        <v>105.40440372829249</v>
      </c>
      <c r="R46" s="11">
        <f t="shared" si="5"/>
        <v>97.785002936472623</v>
      </c>
      <c r="S46" s="11">
        <f t="shared" si="5"/>
        <v>107.27710504709826</v>
      </c>
      <c r="T46" s="11">
        <f t="shared" si="5"/>
        <v>289.82753492379027</v>
      </c>
      <c r="U46" s="7">
        <v>0.103316408589762</v>
      </c>
      <c r="V46" s="21">
        <v>189.09164144664999</v>
      </c>
      <c r="W46" s="9">
        <v>0.98753274900006305</v>
      </c>
    </row>
    <row r="47" spans="1:25" x14ac:dyDescent="0.3">
      <c r="A47" s="6">
        <v>12</v>
      </c>
      <c r="B47" s="7">
        <v>0.76151747308904305</v>
      </c>
      <c r="C47" s="7">
        <v>0.38548543622018799</v>
      </c>
      <c r="D47" s="7">
        <v>4.6611829738249098</v>
      </c>
      <c r="E47" s="7">
        <v>4.3236407463555198</v>
      </c>
      <c r="F47" s="7">
        <v>4.0777272430714202</v>
      </c>
      <c r="G47" s="7">
        <v>5.6692860389127304</v>
      </c>
      <c r="H47" s="7">
        <v>2.2578420625716401E-2</v>
      </c>
      <c r="I47" s="21">
        <v>159.80030858186399</v>
      </c>
      <c r="J47" s="9">
        <v>0.99269155082494898</v>
      </c>
      <c r="N47" s="6">
        <v>12</v>
      </c>
      <c r="O47" s="7">
        <v>0.76151747308904305</v>
      </c>
      <c r="P47" s="7">
        <v>0.38548543622018799</v>
      </c>
      <c r="Q47" s="11">
        <f t="shared" si="6"/>
        <v>105.76112082096846</v>
      </c>
      <c r="R47" s="11">
        <f t="shared" si="5"/>
        <v>75.462869935662653</v>
      </c>
      <c r="S47" s="11">
        <f t="shared" si="5"/>
        <v>59.011199213543421</v>
      </c>
      <c r="T47" s="11">
        <f t="shared" si="5"/>
        <v>289.82753492379027</v>
      </c>
      <c r="U47" s="7">
        <v>2.2578420625716401E-2</v>
      </c>
      <c r="V47" s="21">
        <v>159.80030858186399</v>
      </c>
      <c r="W47" s="9">
        <v>0.99269155082494898</v>
      </c>
    </row>
    <row r="48" spans="1:25" x14ac:dyDescent="0.3">
      <c r="A48" s="6">
        <v>13</v>
      </c>
      <c r="B48" s="7">
        <v>0.71073757098711199</v>
      </c>
      <c r="C48" s="7">
        <v>0.56173522970420897</v>
      </c>
      <c r="D48" s="7">
        <v>4.84836038211506</v>
      </c>
      <c r="E48" s="7">
        <v>4.9713965716400699</v>
      </c>
      <c r="F48" s="7">
        <v>4.7731819173786798</v>
      </c>
      <c r="G48" s="7">
        <v>5.6692860389127304</v>
      </c>
      <c r="H48" s="7">
        <v>2.9744133484299699E-15</v>
      </c>
      <c r="I48" s="21">
        <v>187.694824546175</v>
      </c>
      <c r="J48" s="9">
        <v>0.97767186063676303</v>
      </c>
      <c r="N48" s="6">
        <v>13</v>
      </c>
      <c r="O48" s="7">
        <v>0.71073757098711199</v>
      </c>
      <c r="P48" s="7">
        <v>0.56173522970420897</v>
      </c>
      <c r="Q48" s="11">
        <f t="shared" si="6"/>
        <v>127.53111602963759</v>
      </c>
      <c r="R48" s="11">
        <f t="shared" si="5"/>
        <v>144.2281717585474</v>
      </c>
      <c r="S48" s="11">
        <f t="shared" si="5"/>
        <v>118.29504882206332</v>
      </c>
      <c r="T48" s="11">
        <f t="shared" si="5"/>
        <v>289.82753492379027</v>
      </c>
      <c r="U48" s="7">
        <v>2.9744133484299699E-15</v>
      </c>
      <c r="V48" s="21">
        <v>187.694824546175</v>
      </c>
      <c r="W48" s="9">
        <v>0.97767186063676303</v>
      </c>
    </row>
    <row r="49" spans="1:23" x14ac:dyDescent="0.3">
      <c r="A49" s="6">
        <v>14</v>
      </c>
      <c r="B49" s="7">
        <v>0.61559925300825902</v>
      </c>
      <c r="C49" s="7">
        <v>0.48675037449574998</v>
      </c>
      <c r="D49" s="7">
        <v>4.9107858408096901</v>
      </c>
      <c r="E49" s="7">
        <v>4.4793524100532496</v>
      </c>
      <c r="F49" s="7">
        <v>4.23322954625473</v>
      </c>
      <c r="G49" s="7">
        <v>5.6692860389127304</v>
      </c>
      <c r="H49" s="7">
        <v>1.06955186967386E-2</v>
      </c>
      <c r="I49" s="21">
        <v>174.08397064578401</v>
      </c>
      <c r="J49" s="9">
        <v>0.99028342817758797</v>
      </c>
      <c r="N49" s="6">
        <v>14</v>
      </c>
      <c r="O49" s="7">
        <v>0.61559925300825902</v>
      </c>
      <c r="P49" s="7">
        <v>0.48675037449574998</v>
      </c>
      <c r="Q49" s="11">
        <f t="shared" si="6"/>
        <v>135.74604728845665</v>
      </c>
      <c r="R49" s="11">
        <f t="shared" si="5"/>
        <v>88.177551286286928</v>
      </c>
      <c r="S49" s="11">
        <f t="shared" si="5"/>
        <v>68.939516399040969</v>
      </c>
      <c r="T49" s="11">
        <f t="shared" si="5"/>
        <v>289.82753492379027</v>
      </c>
      <c r="U49" s="7">
        <v>1.06955186967386E-2</v>
      </c>
      <c r="V49" s="21">
        <v>174.08397064578401</v>
      </c>
      <c r="W49" s="9">
        <v>0.99028342817758797</v>
      </c>
    </row>
    <row r="50" spans="1:23" x14ac:dyDescent="0.3">
      <c r="A50" s="6">
        <v>15</v>
      </c>
      <c r="B50" s="7">
        <v>0.92314649468753496</v>
      </c>
      <c r="C50" s="7">
        <v>0.44799264832399799</v>
      </c>
      <c r="D50" s="7">
        <v>4.2967678091372399</v>
      </c>
      <c r="E50" s="7">
        <v>4.0587690405082002</v>
      </c>
      <c r="F50" s="7">
        <v>4.0172306012827903</v>
      </c>
      <c r="G50" s="7">
        <v>5.6692860389127304</v>
      </c>
      <c r="H50" s="7">
        <v>0.17365944635279601</v>
      </c>
      <c r="I50" s="21">
        <v>191.505571700057</v>
      </c>
      <c r="J50" s="9">
        <v>0.99164872943115401</v>
      </c>
      <c r="N50" s="6">
        <v>15</v>
      </c>
      <c r="O50" s="7">
        <v>0.92314649468753496</v>
      </c>
      <c r="P50" s="7">
        <v>0.44799264832399799</v>
      </c>
      <c r="Q50" s="11">
        <f t="shared" si="6"/>
        <v>73.461966458380189</v>
      </c>
      <c r="R50" s="11">
        <f t="shared" si="5"/>
        <v>57.902990955553243</v>
      </c>
      <c r="S50" s="11">
        <f t="shared" si="5"/>
        <v>55.547060660469725</v>
      </c>
      <c r="T50" s="11">
        <f t="shared" si="5"/>
        <v>289.82753492379027</v>
      </c>
      <c r="U50" s="7">
        <v>0.17365944635279601</v>
      </c>
      <c r="V50" s="21">
        <v>191.505571700057</v>
      </c>
      <c r="W50" s="9">
        <v>0.99164872943115401</v>
      </c>
    </row>
    <row r="51" spans="1:23" x14ac:dyDescent="0.3">
      <c r="A51" s="6">
        <v>16</v>
      </c>
      <c r="B51" s="7">
        <v>0.89266733548029098</v>
      </c>
      <c r="C51" s="7">
        <v>0.39371563883651101</v>
      </c>
      <c r="D51" s="7">
        <v>4.30184983016989</v>
      </c>
      <c r="E51" s="7">
        <v>4.7331686406923801</v>
      </c>
      <c r="F51" s="7">
        <v>4.4121826915998099</v>
      </c>
      <c r="G51" s="7">
        <v>5.6692860389127304</v>
      </c>
      <c r="H51" s="7">
        <v>0.25838140795308601</v>
      </c>
      <c r="I51" s="21">
        <v>222.50275538505099</v>
      </c>
      <c r="J51" s="9">
        <v>0.96500435566662202</v>
      </c>
      <c r="N51" s="6">
        <v>16</v>
      </c>
      <c r="O51" s="7">
        <v>0.89266733548029098</v>
      </c>
      <c r="P51" s="7">
        <v>0.39371563883651101</v>
      </c>
      <c r="Q51" s="11">
        <f t="shared" si="6"/>
        <v>73.836251974901387</v>
      </c>
      <c r="R51" s="11">
        <f t="shared" si="5"/>
        <v>113.65512463879367</v>
      </c>
      <c r="S51" s="11">
        <f t="shared" si="5"/>
        <v>82.449228485501649</v>
      </c>
      <c r="T51" s="11">
        <f t="shared" si="5"/>
        <v>289.82753492379027</v>
      </c>
      <c r="U51" s="7">
        <v>0.25838140795308601</v>
      </c>
      <c r="V51" s="21">
        <v>222.50275538505099</v>
      </c>
      <c r="W51" s="9">
        <v>0.96500435566662202</v>
      </c>
    </row>
    <row r="52" spans="1:23" x14ac:dyDescent="0.3">
      <c r="A52" s="6">
        <v>17</v>
      </c>
      <c r="B52" s="7">
        <v>0.81017052875831697</v>
      </c>
      <c r="C52" s="7">
        <v>0.61453235317021604</v>
      </c>
      <c r="D52" s="7">
        <v>4.8313257247209602</v>
      </c>
      <c r="E52" s="7">
        <v>4.8282492421567396</v>
      </c>
      <c r="F52" s="7">
        <v>4.5256226796191203</v>
      </c>
      <c r="G52" s="7">
        <v>5.6692860389127304</v>
      </c>
      <c r="H52" s="7">
        <v>1.1008833003390801E-2</v>
      </c>
      <c r="I52" s="21">
        <v>167.886218869613</v>
      </c>
      <c r="J52" s="9">
        <v>0.98999273589680603</v>
      </c>
      <c r="N52" s="6">
        <v>17</v>
      </c>
      <c r="O52" s="7">
        <v>0.81017052875831697</v>
      </c>
      <c r="P52" s="7">
        <v>0.61453235317021604</v>
      </c>
      <c r="Q52" s="11">
        <f t="shared" si="6"/>
        <v>125.37706600129434</v>
      </c>
      <c r="R52" s="11">
        <f t="shared" si="6"/>
        <v>124.9919383667757</v>
      </c>
      <c r="S52" s="11">
        <f t="shared" si="6"/>
        <v>92.353414517259068</v>
      </c>
      <c r="T52" s="11">
        <f t="shared" si="6"/>
        <v>289.82753492379027</v>
      </c>
      <c r="U52" s="7">
        <v>1.1008833003390801E-2</v>
      </c>
      <c r="V52" s="21">
        <v>167.886218869613</v>
      </c>
      <c r="W52" s="9">
        <v>0.98999273589680603</v>
      </c>
    </row>
    <row r="53" spans="1:23" x14ac:dyDescent="0.3">
      <c r="A53" s="6">
        <v>18</v>
      </c>
      <c r="B53" s="7">
        <v>0.98269585208504395</v>
      </c>
      <c r="C53" s="7">
        <v>0.56240898529595096</v>
      </c>
      <c r="D53" s="7">
        <v>3.9486477267237201</v>
      </c>
      <c r="E53" s="7">
        <v>3.8636395407622799</v>
      </c>
      <c r="F53" s="7">
        <v>3.7883043360832298</v>
      </c>
      <c r="G53" s="7">
        <v>5.6692860389127304</v>
      </c>
      <c r="H53" s="7">
        <v>2.2267097953804502E-16</v>
      </c>
      <c r="I53" s="21">
        <v>103.793880940484</v>
      </c>
      <c r="J53" s="9">
        <v>0.99927624487538602</v>
      </c>
      <c r="N53" s="6">
        <v>18</v>
      </c>
      <c r="O53" s="7">
        <v>0.98269585208504395</v>
      </c>
      <c r="P53" s="7">
        <v>0.56240898529595096</v>
      </c>
      <c r="Q53" s="11">
        <f t="shared" si="6"/>
        <v>51.865183490392482</v>
      </c>
      <c r="R53" s="11">
        <f t="shared" si="6"/>
        <v>47.638418200810555</v>
      </c>
      <c r="S53" s="11">
        <f t="shared" si="6"/>
        <v>44.181419883687866</v>
      </c>
      <c r="T53" s="11">
        <f t="shared" si="6"/>
        <v>289.82753492379027</v>
      </c>
      <c r="U53" s="7">
        <v>2.2267097953804502E-16</v>
      </c>
      <c r="V53" s="21">
        <v>103.793880940484</v>
      </c>
      <c r="W53" s="9">
        <v>0.99927624487538602</v>
      </c>
    </row>
    <row r="54" spans="1:23" x14ac:dyDescent="0.3">
      <c r="A54" s="6">
        <v>19</v>
      </c>
      <c r="B54" s="7">
        <v>0.97932527077350595</v>
      </c>
      <c r="C54" s="7">
        <v>0.36176195405296302</v>
      </c>
      <c r="D54" s="7">
        <v>3.9754650536774498</v>
      </c>
      <c r="E54" s="7">
        <v>3.9312808954734901</v>
      </c>
      <c r="F54" s="7">
        <v>3.8988923390741101</v>
      </c>
      <c r="G54" s="7">
        <v>5.6692860389127304</v>
      </c>
      <c r="H54" s="7">
        <v>5.8394646207540403E-2</v>
      </c>
      <c r="I54" s="21">
        <v>138.719225404984</v>
      </c>
      <c r="J54" s="9">
        <v>0.99629209711015798</v>
      </c>
      <c r="N54" s="6">
        <v>19</v>
      </c>
      <c r="O54" s="7">
        <v>0.97932527077350595</v>
      </c>
      <c r="P54" s="7">
        <v>0.36176195405296302</v>
      </c>
      <c r="Q54" s="11">
        <f t="shared" si="6"/>
        <v>53.274886827652473</v>
      </c>
      <c r="R54" s="11">
        <f t="shared" si="6"/>
        <v>50.972225965669736</v>
      </c>
      <c r="S54" s="11">
        <f t="shared" si="6"/>
        <v>49.347758238072899</v>
      </c>
      <c r="T54" s="11">
        <f t="shared" si="6"/>
        <v>289.82753492379027</v>
      </c>
      <c r="U54" s="7">
        <v>5.8394646207540403E-2</v>
      </c>
      <c r="V54" s="21">
        <v>138.719225404984</v>
      </c>
      <c r="W54" s="9">
        <v>0.99629209711015798</v>
      </c>
    </row>
    <row r="55" spans="1:23" x14ac:dyDescent="0.3">
      <c r="A55" s="6">
        <v>20</v>
      </c>
      <c r="B55" s="7">
        <v>0.72825060027119004</v>
      </c>
      <c r="C55" s="7">
        <v>0.59807025580178097</v>
      </c>
      <c r="D55" s="7">
        <v>4.90055950024498</v>
      </c>
      <c r="E55" s="7">
        <v>4.7941179454534204</v>
      </c>
      <c r="F55" s="7">
        <v>4.4782567399546496</v>
      </c>
      <c r="G55" s="7">
        <v>5.6692860389127304</v>
      </c>
      <c r="H55" s="7">
        <v>5.8889964124262004E-12</v>
      </c>
      <c r="I55" s="21">
        <v>174.609930453494</v>
      </c>
      <c r="J55" s="9">
        <v>0.99395037699941202</v>
      </c>
      <c r="N55" s="6">
        <v>20</v>
      </c>
      <c r="O55" s="7">
        <v>0.72825060027119004</v>
      </c>
      <c r="P55" s="7">
        <v>0.59807025580178097</v>
      </c>
      <c r="Q55" s="11">
        <f t="shared" si="6"/>
        <v>134.36493587255964</v>
      </c>
      <c r="R55" s="11">
        <f t="shared" si="6"/>
        <v>120.79778454260273</v>
      </c>
      <c r="S55" s="11">
        <f t="shared" si="6"/>
        <v>88.080990688914412</v>
      </c>
      <c r="T55" s="11">
        <f t="shared" si="6"/>
        <v>289.82753492379027</v>
      </c>
      <c r="U55" s="7">
        <v>5.8889964124262004E-12</v>
      </c>
      <c r="V55" s="21">
        <v>174.609930453494</v>
      </c>
      <c r="W55" s="9">
        <v>0.99395037699941202</v>
      </c>
    </row>
    <row r="56" spans="1:23" x14ac:dyDescent="0.3">
      <c r="A56" s="6">
        <v>21</v>
      </c>
      <c r="B56" s="7">
        <v>0.85578517377980501</v>
      </c>
      <c r="C56" s="7">
        <v>0.64511489583273895</v>
      </c>
      <c r="D56" s="7">
        <v>4.2442013860500101</v>
      </c>
      <c r="E56" s="7">
        <v>4.0617876108608497</v>
      </c>
      <c r="F56" s="7">
        <v>3.5087715002528101</v>
      </c>
      <c r="G56" s="7">
        <v>5.6692860389127304</v>
      </c>
      <c r="H56" s="7">
        <v>0.18054369926452701</v>
      </c>
      <c r="I56" s="21">
        <v>187.70588352547699</v>
      </c>
      <c r="J56" s="9">
        <v>0.97001660385168398</v>
      </c>
      <c r="N56" s="6">
        <v>21</v>
      </c>
      <c r="O56" s="7">
        <v>0.85578517377980501</v>
      </c>
      <c r="P56" s="7">
        <v>0.64511489583273895</v>
      </c>
      <c r="Q56" s="11">
        <f t="shared" si="6"/>
        <v>69.700074459401947</v>
      </c>
      <c r="R56" s="11">
        <f t="shared" si="6"/>
        <v>58.078039272294404</v>
      </c>
      <c r="S56" s="11">
        <f t="shared" si="6"/>
        <v>33.407201825353042</v>
      </c>
      <c r="T56" s="11">
        <f t="shared" si="6"/>
        <v>289.82753492379027</v>
      </c>
      <c r="U56" s="7">
        <v>0.18054369926452701</v>
      </c>
      <c r="V56" s="21">
        <v>187.70588352547699</v>
      </c>
      <c r="W56" s="9">
        <v>0.97001660385168398</v>
      </c>
    </row>
    <row r="57" spans="1:23" x14ac:dyDescent="0.3">
      <c r="A57" s="6">
        <v>22</v>
      </c>
      <c r="B57" s="7">
        <v>0.71226461583282796</v>
      </c>
      <c r="C57" s="7">
        <v>0.324036894505844</v>
      </c>
      <c r="D57" s="7">
        <v>4.0009130483376802</v>
      </c>
      <c r="E57" s="7">
        <v>3.7514027094875901</v>
      </c>
      <c r="F57" s="7">
        <v>3.5259745521034298</v>
      </c>
      <c r="G57" s="7">
        <v>5.6692860389127304</v>
      </c>
      <c r="H57" s="7">
        <v>2.5033513696722201E-2</v>
      </c>
      <c r="I57" s="21">
        <v>109.601983470479</v>
      </c>
      <c r="J57" s="9">
        <v>0.99864006931113602</v>
      </c>
      <c r="N57" s="6">
        <v>22</v>
      </c>
      <c r="O57" s="7">
        <v>0.71226461583282796</v>
      </c>
      <c r="P57" s="7">
        <v>0.324036894505844</v>
      </c>
      <c r="Q57" s="11">
        <f t="shared" si="6"/>
        <v>54.648023548272675</v>
      </c>
      <c r="R57" s="11">
        <f t="shared" si="6"/>
        <v>42.580768576884083</v>
      </c>
      <c r="S57" s="11">
        <f t="shared" si="6"/>
        <v>33.986879466812596</v>
      </c>
      <c r="T57" s="11">
        <f t="shared" si="6"/>
        <v>289.82753492379027</v>
      </c>
      <c r="U57" s="7">
        <v>2.5033513696722201E-2</v>
      </c>
      <c r="V57" s="21">
        <v>109.601983470479</v>
      </c>
      <c r="W57" s="9">
        <v>0.99864006931113602</v>
      </c>
    </row>
    <row r="58" spans="1:23" x14ac:dyDescent="0.3">
      <c r="A58" s="6">
        <v>23</v>
      </c>
      <c r="B58" s="7">
        <v>0.75848970394654303</v>
      </c>
      <c r="C58" s="7">
        <v>0.58345312363016999</v>
      </c>
      <c r="D58" s="7">
        <v>4.8656687855909704</v>
      </c>
      <c r="E58" s="7">
        <v>4.8621038374012597</v>
      </c>
      <c r="F58" s="7">
        <v>4.7639988032287901</v>
      </c>
      <c r="G58" s="7">
        <v>5.6692860389127304</v>
      </c>
      <c r="H58" s="7">
        <v>4.5362035965573E-10</v>
      </c>
      <c r="I58" s="21">
        <v>180.16865209668799</v>
      </c>
      <c r="J58" s="9">
        <v>0.98721301582419796</v>
      </c>
      <c r="N58" s="6">
        <v>23</v>
      </c>
      <c r="O58" s="7">
        <v>0.75848970394654303</v>
      </c>
      <c r="P58" s="7">
        <v>0.58345312363016999</v>
      </c>
      <c r="Q58" s="11">
        <f t="shared" si="6"/>
        <v>129.75768967281655</v>
      </c>
      <c r="R58" s="11">
        <f t="shared" si="6"/>
        <v>129.29593378885002</v>
      </c>
      <c r="S58" s="11">
        <f t="shared" si="6"/>
        <v>117.21370453845829</v>
      </c>
      <c r="T58" s="11">
        <f t="shared" si="6"/>
        <v>289.82753492379027</v>
      </c>
      <c r="U58" s="7">
        <v>4.5362035965573E-10</v>
      </c>
      <c r="V58" s="21">
        <v>180.16865209668799</v>
      </c>
      <c r="W58" s="9">
        <v>0.98721301582419796</v>
      </c>
    </row>
    <row r="59" spans="1:23" x14ac:dyDescent="0.3">
      <c r="A59" s="6">
        <v>24</v>
      </c>
      <c r="B59" s="7">
        <v>0.60617366632104697</v>
      </c>
      <c r="C59" s="7">
        <v>0.48338648338722101</v>
      </c>
      <c r="D59" s="7">
        <v>4.5943472892904502</v>
      </c>
      <c r="E59" s="7">
        <v>4.6261783531736</v>
      </c>
      <c r="F59" s="7">
        <v>4.2993490365733997</v>
      </c>
      <c r="G59" s="7">
        <v>5.6692860389127304</v>
      </c>
      <c r="H59" s="7">
        <v>4.8408621583428402E-2</v>
      </c>
      <c r="I59" s="21">
        <v>179.782920390588</v>
      </c>
      <c r="J59" s="9">
        <v>1</v>
      </c>
      <c r="N59" s="6">
        <v>24</v>
      </c>
      <c r="O59" s="7">
        <v>0.60617366632104697</v>
      </c>
      <c r="P59" s="7">
        <v>0.48338648338722101</v>
      </c>
      <c r="Q59" s="11">
        <f t="shared" si="6"/>
        <v>98.923546012911203</v>
      </c>
      <c r="R59" s="11">
        <f t="shared" si="6"/>
        <v>102.12303921815293</v>
      </c>
      <c r="S59" s="11">
        <f t="shared" si="6"/>
        <v>73.651833441230053</v>
      </c>
      <c r="T59" s="11">
        <f t="shared" si="6"/>
        <v>289.82753492379027</v>
      </c>
      <c r="U59" s="7">
        <v>4.8408621583428402E-2</v>
      </c>
      <c r="V59" s="21">
        <v>179.782920390588</v>
      </c>
      <c r="W59" s="9">
        <v>1</v>
      </c>
    </row>
    <row r="60" spans="1:23" x14ac:dyDescent="0.3">
      <c r="A60" s="6">
        <v>25</v>
      </c>
      <c r="B60" s="7">
        <v>0.67199508622325099</v>
      </c>
      <c r="C60" s="7">
        <v>0.49554752510175598</v>
      </c>
      <c r="D60" s="7">
        <v>4.9961196977301396</v>
      </c>
      <c r="E60" s="7">
        <v>4.8817621558973796</v>
      </c>
      <c r="F60" s="7">
        <v>4.6107984060781799</v>
      </c>
      <c r="G60" s="7">
        <v>5.6692860389127304</v>
      </c>
      <c r="H60" s="7">
        <v>3.8086728568850898E-8</v>
      </c>
      <c r="I60" s="21">
        <v>188.75630501112499</v>
      </c>
      <c r="J60" s="9">
        <v>1</v>
      </c>
      <c r="N60" s="6">
        <v>25</v>
      </c>
      <c r="O60" s="7">
        <v>0.67199508622325099</v>
      </c>
      <c r="P60" s="7">
        <v>0.49554752510175598</v>
      </c>
      <c r="Q60" s="11">
        <f t="shared" si="6"/>
        <v>147.83838705026622</v>
      </c>
      <c r="R60" s="11">
        <f t="shared" si="6"/>
        <v>131.86282212590388</v>
      </c>
      <c r="S60" s="11">
        <f t="shared" si="6"/>
        <v>100.56440882766941</v>
      </c>
      <c r="T60" s="11">
        <f t="shared" si="6"/>
        <v>289.82753492379027</v>
      </c>
      <c r="U60" s="7">
        <v>3.8086728568850898E-8</v>
      </c>
      <c r="V60" s="21">
        <v>188.75630501112499</v>
      </c>
      <c r="W60" s="9">
        <v>1</v>
      </c>
    </row>
    <row r="61" spans="1:23" x14ac:dyDescent="0.3">
      <c r="A61" s="6">
        <v>26</v>
      </c>
      <c r="B61" s="7">
        <v>0.52686600834786101</v>
      </c>
      <c r="C61" s="7">
        <v>0.55857593477558098</v>
      </c>
      <c r="D61" s="7">
        <v>4.2690423340973203</v>
      </c>
      <c r="E61" s="7">
        <v>4.2705409636510003</v>
      </c>
      <c r="F61" s="7">
        <v>4.1303462346913902</v>
      </c>
      <c r="G61" s="7">
        <v>5.6692860389127304</v>
      </c>
      <c r="H61" s="7">
        <v>2.6183221717322399E-9</v>
      </c>
      <c r="I61" s="21">
        <v>144.55872272709499</v>
      </c>
      <c r="J61" s="9">
        <v>1</v>
      </c>
      <c r="N61" s="6">
        <v>26</v>
      </c>
      <c r="O61" s="7">
        <v>0.52686600834786101</v>
      </c>
      <c r="P61" s="7">
        <v>0.55857593477558098</v>
      </c>
      <c r="Q61" s="11">
        <f t="shared" si="6"/>
        <v>71.453174574119359</v>
      </c>
      <c r="R61" s="11">
        <f t="shared" si="6"/>
        <v>71.560336691342158</v>
      </c>
      <c r="S61" s="11">
        <f t="shared" si="6"/>
        <v>62.199454816046433</v>
      </c>
      <c r="T61" s="11">
        <f t="shared" si="6"/>
        <v>289.82753492379027</v>
      </c>
      <c r="U61" s="7">
        <v>2.6183221717322399E-9</v>
      </c>
      <c r="V61" s="21">
        <v>144.55872272709499</v>
      </c>
      <c r="W61" s="9">
        <v>1</v>
      </c>
    </row>
    <row r="62" spans="1:23" x14ac:dyDescent="0.3">
      <c r="A62" s="6">
        <v>27</v>
      </c>
      <c r="B62" s="7">
        <v>0.92700941156344896</v>
      </c>
      <c r="C62" s="7">
        <v>0.49203821203864201</v>
      </c>
      <c r="D62" s="7">
        <v>4.84860665707129</v>
      </c>
      <c r="E62" s="7">
        <v>4.8646572471097898</v>
      </c>
      <c r="F62" s="7">
        <v>4.7499102930787602</v>
      </c>
      <c r="G62" s="7">
        <v>5.6692860389127304</v>
      </c>
      <c r="H62" s="7">
        <v>5.2497230274427001E-2</v>
      </c>
      <c r="I62" s="21">
        <v>185.215334648181</v>
      </c>
      <c r="J62" s="9">
        <v>0.98947771825900799</v>
      </c>
      <c r="N62" s="6">
        <v>27</v>
      </c>
      <c r="O62" s="7">
        <v>0.92700941156344896</v>
      </c>
      <c r="P62" s="7">
        <v>0.49203821203864201</v>
      </c>
      <c r="Q62" s="11">
        <f t="shared" si="6"/>
        <v>127.56252761744069</v>
      </c>
      <c r="R62" s="11">
        <f t="shared" si="6"/>
        <v>129.62650113879474</v>
      </c>
      <c r="S62" s="11">
        <f t="shared" si="6"/>
        <v>115.57391628193766</v>
      </c>
      <c r="T62" s="11">
        <f t="shared" si="6"/>
        <v>289.82753492379027</v>
      </c>
      <c r="U62" s="7">
        <v>5.2497230274427001E-2</v>
      </c>
      <c r="V62" s="21">
        <v>185.215334648181</v>
      </c>
      <c r="W62" s="9">
        <v>0.98947771825900799</v>
      </c>
    </row>
    <row r="63" spans="1:23" x14ac:dyDescent="0.3">
      <c r="A63" s="6">
        <v>28</v>
      </c>
      <c r="B63" s="7">
        <v>0.78824221983668397</v>
      </c>
      <c r="C63" s="7">
        <v>0.60032181582937505</v>
      </c>
      <c r="D63" s="7">
        <v>4.75997166961315</v>
      </c>
      <c r="E63" s="7">
        <v>4.73395355620596</v>
      </c>
      <c r="F63" s="7">
        <v>4.5012394845834898</v>
      </c>
      <c r="G63" s="7">
        <v>5.6692860389127304</v>
      </c>
      <c r="H63" s="7">
        <v>3.66479360295813E-8</v>
      </c>
      <c r="I63" s="21">
        <v>159.420378803923</v>
      </c>
      <c r="J63" s="9">
        <v>0.99525302047172604</v>
      </c>
      <c r="N63" s="6">
        <v>28</v>
      </c>
      <c r="O63" s="7">
        <v>0.78824221983668397</v>
      </c>
      <c r="P63" s="7">
        <v>0.60032181582937505</v>
      </c>
      <c r="Q63" s="11">
        <f t="shared" si="6"/>
        <v>116.74261848859636</v>
      </c>
      <c r="R63" s="11">
        <f t="shared" si="6"/>
        <v>113.74436932950972</v>
      </c>
      <c r="S63" s="11">
        <f t="shared" si="6"/>
        <v>90.128775323247865</v>
      </c>
      <c r="T63" s="11">
        <f t="shared" si="6"/>
        <v>289.82753492379027</v>
      </c>
      <c r="U63" s="7">
        <v>3.66479360295813E-8</v>
      </c>
      <c r="V63" s="21">
        <v>159.420378803923</v>
      </c>
      <c r="W63" s="9">
        <v>0.99525302047172604</v>
      </c>
    </row>
    <row r="64" spans="1:23" x14ac:dyDescent="0.3">
      <c r="A64" s="6">
        <v>29</v>
      </c>
      <c r="B64" s="7">
        <v>0.46246262490749401</v>
      </c>
      <c r="C64" s="7">
        <v>0.52264720499515505</v>
      </c>
      <c r="D64" s="7">
        <v>4.2552586197853097</v>
      </c>
      <c r="E64" s="7">
        <v>3.7217023372650102</v>
      </c>
      <c r="F64" s="7">
        <v>3.63041952252388</v>
      </c>
      <c r="G64" s="7">
        <v>5.6692860389127304</v>
      </c>
      <c r="H64" s="7">
        <v>2.36878122023935E-2</v>
      </c>
      <c r="I64" s="21">
        <v>119.843784932934</v>
      </c>
      <c r="J64" s="9">
        <v>0.99645984972415202</v>
      </c>
      <c r="N64" s="6">
        <v>29</v>
      </c>
      <c r="O64" s="7">
        <v>0.46246262490749401</v>
      </c>
      <c r="P64" s="7">
        <v>0.52264720499515505</v>
      </c>
      <c r="Q64" s="11">
        <f t="shared" si="6"/>
        <v>70.475041071794251</v>
      </c>
      <c r="R64" s="11">
        <f t="shared" si="6"/>
        <v>41.33469984948271</v>
      </c>
      <c r="S64" s="11">
        <f t="shared" si="6"/>
        <v>37.72864131236755</v>
      </c>
      <c r="T64" s="11">
        <f t="shared" si="6"/>
        <v>289.82753492379027</v>
      </c>
      <c r="U64" s="7">
        <v>2.36878122023935E-2</v>
      </c>
      <c r="V64" s="21">
        <v>119.843784932934</v>
      </c>
      <c r="W64" s="9">
        <v>0.99645984972415202</v>
      </c>
    </row>
    <row r="65" spans="1:23" x14ac:dyDescent="0.3">
      <c r="A65" s="6">
        <v>30</v>
      </c>
      <c r="B65" s="12">
        <v>0.72241446354710204</v>
      </c>
      <c r="C65" s="12">
        <v>0.55112755128302504</v>
      </c>
      <c r="D65" s="12">
        <v>4.8318358693177297</v>
      </c>
      <c r="E65" s="12">
        <v>4.7383080149656998</v>
      </c>
      <c r="F65" s="12">
        <v>4.7879781717738297</v>
      </c>
      <c r="G65" s="12">
        <v>5.6692860389127304</v>
      </c>
      <c r="H65" s="12">
        <v>9.6434476293957794E-2</v>
      </c>
      <c r="I65" s="25">
        <v>202.748755455653</v>
      </c>
      <c r="J65" s="14">
        <v>0.97757988783203298</v>
      </c>
      <c r="N65" s="6">
        <v>30</v>
      </c>
      <c r="O65" s="12">
        <v>0.72241446354710204</v>
      </c>
      <c r="P65" s="12">
        <v>0.55112755128302504</v>
      </c>
      <c r="Q65" s="16">
        <f t="shared" si="6"/>
        <v>125.44104275138291</v>
      </c>
      <c r="R65" s="16">
        <f t="shared" si="6"/>
        <v>114.24074443303986</v>
      </c>
      <c r="S65" s="16">
        <f t="shared" si="6"/>
        <v>120.05838567810608</v>
      </c>
      <c r="T65" s="16">
        <f t="shared" si="6"/>
        <v>289.82753492379027</v>
      </c>
      <c r="U65" s="12">
        <v>9.6434476293957794E-2</v>
      </c>
      <c r="V65" s="25">
        <v>202.748755455653</v>
      </c>
      <c r="W65" s="14">
        <v>0.97757988783203298</v>
      </c>
    </row>
    <row r="66" spans="1:23" x14ac:dyDescent="0.3">
      <c r="A66" s="17" t="s">
        <v>13</v>
      </c>
      <c r="B66" s="18">
        <f>AVERAGE(B36:B65)</f>
        <v>0.74711139559613926</v>
      </c>
      <c r="C66" s="18">
        <f t="shared" ref="C66:J66" si="7">AVERAGE(C36:C65)</f>
        <v>0.5344395534770866</v>
      </c>
      <c r="D66" s="18">
        <f t="shared" si="7"/>
        <v>4.5736328287307852</v>
      </c>
      <c r="E66" s="18">
        <f t="shared" si="7"/>
        <v>4.4199252178794382</v>
      </c>
      <c r="F66" s="18">
        <f t="shared" si="7"/>
        <v>4.2509076223087323</v>
      </c>
      <c r="G66" s="18">
        <f t="shared" si="7"/>
        <v>5.6692860389127304</v>
      </c>
      <c r="H66" s="18">
        <f t="shared" si="7"/>
        <v>6.3499668231010289E-2</v>
      </c>
      <c r="I66" s="18">
        <f t="shared" si="7"/>
        <v>171.29868037357647</v>
      </c>
      <c r="J66" s="18">
        <f t="shared" si="7"/>
        <v>0.98939436440391249</v>
      </c>
      <c r="N66" s="17" t="s">
        <v>13</v>
      </c>
      <c r="O66" s="18">
        <f>AVERAGE(O36:O65)</f>
        <v>0.74711139559613926</v>
      </c>
      <c r="P66" s="18">
        <f t="shared" ref="P66:W66" si="8">AVERAGE(P36:P65)</f>
        <v>0.5344395534770866</v>
      </c>
      <c r="Q66" s="19">
        <f t="shared" si="8"/>
        <v>102.18944224972256</v>
      </c>
      <c r="R66" s="19">
        <f t="shared" si="8"/>
        <v>89.214417125806207</v>
      </c>
      <c r="S66" s="19">
        <f t="shared" si="8"/>
        <v>75.69579711950027</v>
      </c>
      <c r="T66" s="19">
        <f t="shared" si="8"/>
        <v>289.82753492379021</v>
      </c>
      <c r="U66" s="18">
        <f t="shared" si="8"/>
        <v>6.3499668231010289E-2</v>
      </c>
      <c r="V66" s="18">
        <f t="shared" si="8"/>
        <v>171.29868037357647</v>
      </c>
      <c r="W66" s="18">
        <f t="shared" si="8"/>
        <v>0.98939436440391249</v>
      </c>
    </row>
    <row r="67" spans="1:23" x14ac:dyDescent="0.3">
      <c r="A67" s="17" t="s">
        <v>14</v>
      </c>
      <c r="B67" s="20">
        <f>STDEV(B36:B65)</f>
        <v>0.15800858716688851</v>
      </c>
      <c r="C67" s="20">
        <f t="shared" ref="C67:J67" si="9">STDEV(C36:C65)</f>
        <v>0.11944527681416602</v>
      </c>
      <c r="D67" s="20">
        <f t="shared" si="9"/>
        <v>0.33821914791968927</v>
      </c>
      <c r="E67" s="20">
        <f t="shared" si="9"/>
        <v>0.39910750378666104</v>
      </c>
      <c r="F67" s="20">
        <f t="shared" si="9"/>
        <v>0.40648636945367006</v>
      </c>
      <c r="G67" s="20">
        <f t="shared" si="9"/>
        <v>0</v>
      </c>
      <c r="H67" s="20">
        <f t="shared" si="9"/>
        <v>8.3846549442067195E-2</v>
      </c>
      <c r="I67" s="20">
        <f t="shared" si="9"/>
        <v>31.858973369942451</v>
      </c>
      <c r="J67" s="20">
        <f t="shared" si="9"/>
        <v>9.7590953210259391E-3</v>
      </c>
      <c r="N67" s="17" t="s">
        <v>14</v>
      </c>
      <c r="O67" s="20">
        <f>STDEV(O36:O65)</f>
        <v>0.15800858716688851</v>
      </c>
      <c r="P67" s="20">
        <f t="shared" ref="P67:W67" si="10">STDEV(P36:P65)</f>
        <v>0.11944527681416602</v>
      </c>
      <c r="Q67" s="19">
        <f t="shared" si="10"/>
        <v>33.006102396648096</v>
      </c>
      <c r="R67" s="19">
        <f t="shared" si="10"/>
        <v>31.921517683094798</v>
      </c>
      <c r="S67" s="19">
        <f t="shared" si="10"/>
        <v>28.782596527312517</v>
      </c>
      <c r="T67" s="20">
        <f t="shared" si="10"/>
        <v>5.7815171625817106E-14</v>
      </c>
      <c r="U67" s="20">
        <f t="shared" si="10"/>
        <v>8.3846549442067195E-2</v>
      </c>
      <c r="V67" s="20">
        <f t="shared" si="10"/>
        <v>31.858973369942451</v>
      </c>
      <c r="W67" s="20">
        <f t="shared" si="10"/>
        <v>9.7590953210259391E-3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D´Angelo</dc:creator>
  <cp:lastModifiedBy>Mariano D´Angelo</cp:lastModifiedBy>
  <dcterms:created xsi:type="dcterms:W3CDTF">2025-01-08T15:31:46Z</dcterms:created>
  <dcterms:modified xsi:type="dcterms:W3CDTF">2025-01-08T15:34:13Z</dcterms:modified>
</cp:coreProperties>
</file>